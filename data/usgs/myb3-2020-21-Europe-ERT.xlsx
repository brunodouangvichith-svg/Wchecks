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WebPosts\todo20250430\"/>
    </mc:Choice>
  </mc:AlternateContent>
  <xr:revisionPtr revIDLastSave="0" documentId="13_ncr:1_{923DD0E1-ABD4-4107-A937-797D9D59D077}" xr6:coauthVersionLast="47" xr6:coauthVersionMax="47" xr10:uidLastSave="{00000000-0000-0000-0000-000000000000}"/>
  <bookViews>
    <workbookView xWindow="5460" yWindow="600" windowWidth="18750" windowHeight="14055" xr2:uid="{DA3FBA9F-D607-4D53-9CF5-DB2FCF6E4408}"/>
  </bookViews>
  <sheets>
    <sheet name="Note" sheetId="14" r:id="rId1"/>
    <sheet name="T1" sheetId="11" r:id="rId2"/>
    <sheet name="T2" sheetId="12" r:id="rId3"/>
    <sheet name="T3-EUR" sheetId="13" r:id="rId4"/>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3" i="13" l="1"/>
  <c r="E443" i="13"/>
  <c r="M348" i="13"/>
  <c r="I348" i="13"/>
  <c r="M259" i="13"/>
  <c r="K259" i="13"/>
  <c r="E259" i="13"/>
  <c r="K257" i="13"/>
  <c r="E256" i="13"/>
  <c r="M167" i="13"/>
  <c r="C167" i="13"/>
  <c r="G75" i="13"/>
</calcChain>
</file>

<file path=xl/sharedStrings.xml><?xml version="1.0" encoding="utf-8"?>
<sst xmlns="http://schemas.openxmlformats.org/spreadsheetml/2006/main" count="2442" uniqueCount="217">
  <si>
    <t>TABLE 3</t>
  </si>
  <si>
    <t>Metals</t>
  </si>
  <si>
    <t>Antimony,</t>
  </si>
  <si>
    <t>Aluminum</t>
  </si>
  <si>
    <t>mine output,</t>
  </si>
  <si>
    <t>Chromite,</t>
  </si>
  <si>
    <t>Cobalt (metric tons)</t>
  </si>
  <si>
    <t>Copper</t>
  </si>
  <si>
    <t>Metal</t>
  </si>
  <si>
    <t>metal content</t>
  </si>
  <si>
    <t>Mine output,</t>
  </si>
  <si>
    <t>Alumina</t>
  </si>
  <si>
    <t>Bauxite</t>
  </si>
  <si>
    <r>
      <t>Primary</t>
    </r>
    <r>
      <rPr>
        <vertAlign val="superscript"/>
        <sz val="8"/>
        <rFont val="Times New Roman"/>
        <family val="1"/>
      </rPr>
      <t>3</t>
    </r>
  </si>
  <si>
    <t>Secondary</t>
  </si>
  <si>
    <t>(metric tons)</t>
  </si>
  <si>
    <t>(gross weight)</t>
  </si>
  <si>
    <t>Co content</t>
  </si>
  <si>
    <t>Refined</t>
  </si>
  <si>
    <t>Cu content</t>
  </si>
  <si>
    <t>Albania</t>
  </si>
  <si>
    <t>--</t>
  </si>
  <si>
    <t>Armenia</t>
  </si>
  <si>
    <t>e</t>
  </si>
  <si>
    <t>Austria</t>
  </si>
  <si>
    <t>Azerbaijan</t>
  </si>
  <si>
    <t>Belarus</t>
  </si>
  <si>
    <t>Belgium</t>
  </si>
  <si>
    <t>Bosnia and Herzegovina</t>
  </si>
  <si>
    <t>Bulgaria</t>
  </si>
  <si>
    <t>Croatia</t>
  </si>
  <si>
    <t>Cyprus</t>
  </si>
  <si>
    <t>Czechia</t>
  </si>
  <si>
    <t>Denmark and Greenland</t>
  </si>
  <si>
    <t>Estonia</t>
  </si>
  <si>
    <t>Finland</t>
  </si>
  <si>
    <t>France</t>
  </si>
  <si>
    <t>Georgia</t>
  </si>
  <si>
    <t>Germany</t>
  </si>
  <si>
    <t>Greece</t>
  </si>
  <si>
    <t>Hungary</t>
  </si>
  <si>
    <t>Iceland</t>
  </si>
  <si>
    <t>Ireland</t>
  </si>
  <si>
    <t>Italy</t>
  </si>
  <si>
    <t>Kazakhstan</t>
  </si>
  <si>
    <t>Kosovo</t>
  </si>
  <si>
    <t>Kyrgyzstan</t>
  </si>
  <si>
    <t>Latvia</t>
  </si>
  <si>
    <t>Lithuania</t>
  </si>
  <si>
    <t>Luxembourg</t>
  </si>
  <si>
    <t>Malta</t>
  </si>
  <si>
    <t>Moldova</t>
  </si>
  <si>
    <t>Montenegro</t>
  </si>
  <si>
    <t>Netherlands</t>
  </si>
  <si>
    <t>North Macedonia</t>
  </si>
  <si>
    <t>Norway</t>
  </si>
  <si>
    <t>Poland</t>
  </si>
  <si>
    <t>See footnotes at end of table.</t>
  </si>
  <si>
    <t>Portugal</t>
  </si>
  <si>
    <t>Romania</t>
  </si>
  <si>
    <t>Russia</t>
  </si>
  <si>
    <t>Serbia</t>
  </si>
  <si>
    <t>81</t>
  </si>
  <si>
    <t>Slovakia</t>
  </si>
  <si>
    <t>164</t>
  </si>
  <si>
    <t>Slovenia</t>
  </si>
  <si>
    <t>Spain</t>
  </si>
  <si>
    <t>Sweden</t>
  </si>
  <si>
    <t>Switzerland</t>
  </si>
  <si>
    <t>Tajikistan</t>
  </si>
  <si>
    <t>61</t>
  </si>
  <si>
    <t>Turkey</t>
  </si>
  <si>
    <t>Turkmenistan</t>
  </si>
  <si>
    <t>Ukraine</t>
  </si>
  <si>
    <t>United Kingdom</t>
  </si>
  <si>
    <t>Uzbekistan</t>
  </si>
  <si>
    <t>Regional total</t>
  </si>
  <si>
    <t>Share of world total</t>
  </si>
  <si>
    <t>United States</t>
  </si>
  <si>
    <t>W</t>
  </si>
  <si>
    <t>World total</t>
  </si>
  <si>
    <t>Gold,</t>
  </si>
  <si>
    <t>Iron and steel</t>
  </si>
  <si>
    <t>Iron ore,</t>
  </si>
  <si>
    <t>Pig iron and</t>
  </si>
  <si>
    <t>Lead (metric tons)</t>
  </si>
  <si>
    <t>Metal, refined</t>
  </si>
  <si>
    <t>Au content</t>
  </si>
  <si>
    <t>direct-reduced</t>
  </si>
  <si>
    <t>(kilograms)</t>
  </si>
  <si>
    <t>Fe content</t>
  </si>
  <si>
    <t>iron</t>
  </si>
  <si>
    <t>Steel, raw</t>
  </si>
  <si>
    <t>Pb content</t>
  </si>
  <si>
    <t>NA</t>
  </si>
  <si>
    <t xml:space="preserve">Platinum-group metals, Mine </t>
  </si>
  <si>
    <t>Silver,</t>
  </si>
  <si>
    <t>Tungsten,</t>
  </si>
  <si>
    <t>Manganese ore,</t>
  </si>
  <si>
    <t>Nickel, Ni content</t>
  </si>
  <si>
    <t>output, metal content</t>
  </si>
  <si>
    <t>Titanium (metric tons)</t>
  </si>
  <si>
    <t>Refinery,</t>
  </si>
  <si>
    <t>Ag content</t>
  </si>
  <si>
    <t>Ilmenite,</t>
  </si>
  <si>
    <t>Metal sponge,</t>
  </si>
  <si>
    <t>W content</t>
  </si>
  <si>
    <t>Mn content</t>
  </si>
  <si>
    <t>Mine output</t>
  </si>
  <si>
    <t>products</t>
  </si>
  <si>
    <t xml:space="preserve">   Palladium</t>
  </si>
  <si>
    <t xml:space="preserve">   Platinum</t>
  </si>
  <si>
    <r>
      <t>TiO</t>
    </r>
    <r>
      <rPr>
        <vertAlign val="subscript"/>
        <sz val="8"/>
        <rFont val="Times New Roman"/>
        <family val="1"/>
      </rPr>
      <t>2</t>
    </r>
    <r>
      <rPr>
        <sz val="8"/>
        <rFont val="Times New Roman"/>
        <family val="1"/>
      </rPr>
      <t xml:space="preserve"> content</t>
    </r>
  </si>
  <si>
    <t>Ti content</t>
  </si>
  <si>
    <t>4</t>
  </si>
  <si>
    <t xml:space="preserve">e </t>
  </si>
  <si>
    <t>(5)</t>
  </si>
  <si>
    <t>400</t>
  </si>
  <si>
    <t>220</t>
  </si>
  <si>
    <t>Industrial minerals</t>
  </si>
  <si>
    <t>Zinc (metric tons)</t>
  </si>
  <si>
    <t>Diamond, natural,</t>
  </si>
  <si>
    <t>Metal,</t>
  </si>
  <si>
    <t>gemstones and</t>
  </si>
  <si>
    <t>Nitrogen,</t>
  </si>
  <si>
    <t>primary and</t>
  </si>
  <si>
    <t>Cement,</t>
  </si>
  <si>
    <t>industrial</t>
  </si>
  <si>
    <t>N content</t>
  </si>
  <si>
    <t>Phosphate rock,</t>
  </si>
  <si>
    <t>Potash,</t>
  </si>
  <si>
    <t>Zn content</t>
  </si>
  <si>
    <t>secondary</t>
  </si>
  <si>
    <t>Barite</t>
  </si>
  <si>
    <t>hydraulic</t>
  </si>
  <si>
    <t>(thousand carats)</t>
  </si>
  <si>
    <t>of ammonia</t>
  </si>
  <si>
    <r>
      <t>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</si>
  <si>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r>
      <t>K</t>
    </r>
    <r>
      <rPr>
        <vertAlign val="subscript"/>
        <sz val="8"/>
        <rFont val="Times New Roman"/>
        <family val="1"/>
      </rPr>
      <t>2</t>
    </r>
    <r>
      <rPr>
        <sz val="8"/>
        <rFont val="Times New Roman"/>
        <family val="1"/>
      </rPr>
      <t>O equivalent</t>
    </r>
  </si>
  <si>
    <t>Salt</t>
  </si>
  <si>
    <t>e, 7</t>
  </si>
  <si>
    <t>Mineral fuels and related materials</t>
  </si>
  <si>
    <t>Natural gas,</t>
  </si>
  <si>
    <t>Petroleum,</t>
  </si>
  <si>
    <t>Uranium,</t>
  </si>
  <si>
    <t>Coal</t>
  </si>
  <si>
    <t>dry (million</t>
  </si>
  <si>
    <t>crude (thousand</t>
  </si>
  <si>
    <t>U content</t>
  </si>
  <si>
    <t>Anthracite</t>
  </si>
  <si>
    <t>Bituminous</t>
  </si>
  <si>
    <t>Lignite</t>
  </si>
  <si>
    <t>cubic meters)</t>
  </si>
  <si>
    <t>42-gallon barrels)</t>
  </si>
  <si>
    <t>9</t>
  </si>
  <si>
    <t>10</t>
  </si>
  <si>
    <t>11</t>
  </si>
  <si>
    <r>
      <rPr>
        <vertAlign val="superscript"/>
        <sz val="8"/>
        <rFont val="Times New Roman"/>
        <family val="1"/>
      </rPr>
      <t>1</t>
    </r>
    <r>
      <rPr>
        <sz val="8"/>
        <rFont val="Times New Roman"/>
        <family val="1"/>
      </rPr>
      <t xml:space="preserve">Table includes data available through December 20, 2021. All data are reported unless otherwise noted. World totals, U.S. data, and estimated data are rounded to no more than three significant digits; may not add to totals shown. Percentages are calculated using unrounded data. </t>
    </r>
  </si>
  <si>
    <r>
      <rPr>
        <vertAlign val="superscript"/>
        <sz val="8"/>
        <rFont val="Times New Roman"/>
        <family val="1"/>
      </rPr>
      <t>2</t>
    </r>
    <r>
      <rPr>
        <sz val="8"/>
        <rFont val="Times New Roman"/>
        <family val="1"/>
      </rPr>
      <t xml:space="preserve">Some of the individual entries in this table may differ from those that appear in individual country production tables elsewhere in this volume owing to the inclusion in this table of data received at a later date. </t>
    </r>
  </si>
  <si>
    <r>
      <rPr>
        <vertAlign val="superscript"/>
        <sz val="8"/>
        <rFont val="Times New Roman"/>
        <family val="1"/>
      </rPr>
      <t>3</t>
    </r>
    <r>
      <rPr>
        <sz val="8"/>
        <rFont val="Times New Roman"/>
        <family val="1"/>
      </rPr>
      <t>Primary production also includes undifferentiated (primary and secondary) production for some countries listed.</t>
    </r>
  </si>
  <si>
    <r>
      <rPr>
        <vertAlign val="superscript"/>
        <sz val="8"/>
        <rFont val="Times New Roman"/>
        <family val="1"/>
      </rPr>
      <t>4</t>
    </r>
    <r>
      <rPr>
        <sz val="8"/>
        <rFont val="Times New Roman"/>
        <family val="1"/>
      </rPr>
      <t>WO</t>
    </r>
    <r>
      <rPr>
        <vertAlign val="subscript"/>
        <sz val="8"/>
        <rFont val="Times New Roman"/>
        <family val="1"/>
      </rPr>
      <t>3</t>
    </r>
    <r>
      <rPr>
        <sz val="8"/>
        <rFont val="Times New Roman"/>
        <family val="1"/>
      </rPr>
      <t xml:space="preserve"> content.</t>
    </r>
  </si>
  <si>
    <r>
      <rPr>
        <vertAlign val="superscript"/>
        <sz val="8"/>
        <rFont val="Times New Roman"/>
        <family val="1"/>
      </rPr>
      <t>5</t>
    </r>
    <r>
      <rPr>
        <sz val="8"/>
        <rFont val="Times New Roman"/>
        <family val="1"/>
      </rPr>
      <t>Less than ½ unit.</t>
    </r>
  </si>
  <si>
    <r>
      <rPr>
        <vertAlign val="superscript"/>
        <sz val="8"/>
        <rFont val="Times New Roman"/>
        <family val="1"/>
      </rPr>
      <t>6</t>
    </r>
    <r>
      <rPr>
        <sz val="8"/>
        <rFont val="Times New Roman"/>
        <family val="1"/>
      </rPr>
      <t>Excludes white cement.</t>
    </r>
  </si>
  <si>
    <r>
      <rPr>
        <vertAlign val="superscript"/>
        <sz val="8"/>
        <rFont val="Times New Roman"/>
        <family val="1"/>
      </rPr>
      <t>7</t>
    </r>
    <r>
      <rPr>
        <sz val="8"/>
        <rFont val="Times New Roman"/>
        <family val="1"/>
      </rPr>
      <t>Data derived from reported production of zinc concentrates.</t>
    </r>
  </si>
  <si>
    <r>
      <rPr>
        <vertAlign val="superscript"/>
        <sz val="8"/>
        <rFont val="Times New Roman"/>
        <family val="1"/>
      </rPr>
      <t>8</t>
    </r>
    <r>
      <rPr>
        <sz val="8"/>
        <rFont val="Times New Roman"/>
        <family val="1"/>
      </rPr>
      <t>Includes anthracite and metallurgical coal.</t>
    </r>
  </si>
  <si>
    <r>
      <rPr>
        <vertAlign val="superscript"/>
        <sz val="8"/>
        <rFont val="Times New Roman"/>
        <family val="1"/>
      </rPr>
      <t>9</t>
    </r>
    <r>
      <rPr>
        <sz val="8"/>
        <rFont val="Times New Roman"/>
        <family val="1"/>
      </rPr>
      <t>Includes gas condensate.</t>
    </r>
  </si>
  <si>
    <r>
      <rPr>
        <vertAlign val="superscript"/>
        <sz val="8"/>
        <rFont val="Times New Roman"/>
        <family val="1"/>
      </rPr>
      <t>10</t>
    </r>
    <r>
      <rPr>
        <sz val="8"/>
        <rFont val="Times New Roman"/>
        <family val="1"/>
      </rPr>
      <t>Source: U.S. Energy Information Administration.</t>
    </r>
  </si>
  <si>
    <t>TABLE 1</t>
  </si>
  <si>
    <t>EUROPE AND CENTRAL EURASIA: AREA AND POPULATION IN 2021</t>
  </si>
  <si>
    <r>
      <t>Area</t>
    </r>
    <r>
      <rPr>
        <vertAlign val="superscript"/>
        <sz val="8"/>
        <rFont val="Times New Roman"/>
        <family val="1"/>
      </rPr>
      <t>1</t>
    </r>
  </si>
  <si>
    <r>
      <t>Estimated population</t>
    </r>
    <r>
      <rPr>
        <vertAlign val="superscript"/>
        <sz val="8"/>
        <rFont val="Times New Roman"/>
        <family val="1"/>
      </rPr>
      <t>2</t>
    </r>
  </si>
  <si>
    <t>Country or locality</t>
  </si>
  <si>
    <t>(square kilometers)</t>
  </si>
  <si>
    <t>(thousands)</t>
  </si>
  <si>
    <t xml:space="preserve">World total </t>
  </si>
  <si>
    <r>
      <t>1</t>
    </r>
    <r>
      <rPr>
        <sz val="8"/>
        <rFont val="Times New Roman"/>
        <family val="1"/>
      </rPr>
      <t>Source: U.S. Central Intelligence Agency, The World Factbook.</t>
    </r>
  </si>
  <si>
    <r>
      <t>2</t>
    </r>
    <r>
      <rPr>
        <sz val="8"/>
        <rFont val="Times New Roman"/>
        <family val="1"/>
      </rPr>
      <t>Source: The World Bank, 2021 World Development Indicators Database.</t>
    </r>
  </si>
  <si>
    <r>
      <t>3</t>
    </r>
    <r>
      <rPr>
        <sz val="8"/>
        <rFont val="Times New Roman"/>
        <family val="1"/>
      </rPr>
      <t>World area total includes the areal extent of some countries and (or) territories not covered in the Minerals Yearbook.</t>
    </r>
  </si>
  <si>
    <r>
      <rPr>
        <vertAlign val="superscript"/>
        <sz val="8"/>
        <color theme="1"/>
        <rFont val="Times New Roman"/>
        <family val="1"/>
      </rPr>
      <t>4</t>
    </r>
    <r>
      <rPr>
        <sz val="8"/>
        <color theme="1"/>
        <rFont val="Times New Roman"/>
        <family val="1"/>
      </rPr>
      <t xml:space="preserve">World population total includes populations of some countries and (or) territories not covered in the Minerals Yearbook. </t>
    </r>
  </si>
  <si>
    <t>TABLE 2</t>
  </si>
  <si>
    <r>
      <t>EUROPE AND CENTRAL EURASIA: GROSS DOMESTIC PRODUCT</t>
    </r>
    <r>
      <rPr>
        <vertAlign val="superscript"/>
        <sz val="8"/>
        <rFont val="Times New Roman"/>
        <family val="1"/>
      </rPr>
      <t>1, 2</t>
    </r>
  </si>
  <si>
    <t>Gross domestic product in 2021</t>
  </si>
  <si>
    <t>based on purchasing power parity</t>
  </si>
  <si>
    <t>Real gross domestic product growth rate</t>
  </si>
  <si>
    <t>Gross value</t>
  </si>
  <si>
    <t>Per capita</t>
  </si>
  <si>
    <t>(percentage)</t>
  </si>
  <si>
    <t>(million dollars)</t>
  </si>
  <si>
    <t>(dollars)</t>
  </si>
  <si>
    <r>
      <t xml:space="preserve">World total </t>
    </r>
    <r>
      <rPr>
        <vertAlign val="superscript"/>
        <sz val="8"/>
        <rFont val="Times New Roman"/>
        <family val="1"/>
      </rPr>
      <t>5</t>
    </r>
  </si>
  <si>
    <r>
      <t>1</t>
    </r>
    <r>
      <rPr>
        <sz val="8"/>
        <rFont val="Times New Roman"/>
        <family val="1"/>
      </rPr>
      <t>Source: International Monetary Fund, World Economic Outlook Database, October 2023.</t>
    </r>
  </si>
  <si>
    <r>
      <t>2</t>
    </r>
    <r>
      <rPr>
        <sz val="8"/>
        <rFont val="Times New Roman"/>
        <family val="1"/>
      </rPr>
      <t>Gross domestic product listed may differ from that reported in individual country chapters owing to differences in source or date of reporting.</t>
    </r>
  </si>
  <si>
    <r>
      <rPr>
        <vertAlign val="superscript"/>
        <sz val="8"/>
        <rFont val="Times New Roman"/>
        <family val="1"/>
      </rPr>
      <t>3</t>
    </r>
    <r>
      <rPr>
        <sz val="8"/>
        <rFont val="Times New Roman"/>
        <family val="1"/>
      </rPr>
      <t>Calculated as gross domestic product divided by population.</t>
    </r>
  </si>
  <si>
    <r>
      <rPr>
        <vertAlign val="superscript"/>
        <sz val="8"/>
        <rFont val="Times New Roman"/>
        <family val="1"/>
      </rPr>
      <t>4</t>
    </r>
    <r>
      <rPr>
        <sz val="8"/>
        <rFont val="Times New Roman"/>
        <family val="1"/>
      </rPr>
      <t>Annual change in regional gross domestic product.</t>
    </r>
  </si>
  <si>
    <r>
      <rPr>
        <vertAlign val="superscript"/>
        <sz val="8"/>
        <rFont val="Times New Roman"/>
        <family val="1"/>
      </rPr>
      <t>5</t>
    </r>
    <r>
      <rPr>
        <sz val="8"/>
        <rFont val="Times New Roman"/>
        <family val="1"/>
      </rPr>
      <t>World gross domestic product total includes the gross domestic product of some countries and (or) territories not covered in the Minerals Yearbook.</t>
    </r>
  </si>
  <si>
    <t>(Thousand metric tons unless otherwise specified)</t>
  </si>
  <si>
    <t>TABLE 3—Continued</t>
  </si>
  <si>
    <t>Metals—Continued</t>
  </si>
  <si>
    <t>Copper—Continued</t>
  </si>
  <si>
    <t>crude, including</t>
  </si>
  <si>
    <t>condensate (thousand</t>
  </si>
  <si>
    <r>
      <rPr>
        <sz val="6"/>
        <rFont val="Times New Roman"/>
        <family val="1"/>
      </rPr>
      <t>(12)</t>
    </r>
  </si>
  <si>
    <r>
      <t>EUROPE AND CENTRAL EURASIA: PRODUCTION OF SELECTED MINERAL COMMODITIES IN 2021</t>
    </r>
    <r>
      <rPr>
        <vertAlign val="superscript"/>
        <sz val="8"/>
        <rFont val="Times New Roman"/>
        <family val="1"/>
      </rPr>
      <t>1, 2</t>
    </r>
  </si>
  <si>
    <r>
      <rPr>
        <vertAlign val="superscript"/>
        <sz val="8"/>
        <rFont val="Times New Roman"/>
        <family val="1"/>
      </rPr>
      <t>e</t>
    </r>
    <r>
      <rPr>
        <sz val="8"/>
        <rFont val="Times New Roman"/>
        <family val="1"/>
      </rPr>
      <t>Estimated.  NA Not available.  W Withheld to avoid disclosing company proprietary data.  -- Zero or zero percent.</t>
    </r>
  </si>
  <si>
    <r>
      <rPr>
        <vertAlign val="superscript"/>
        <sz val="8"/>
        <rFont val="Times New Roman"/>
        <family val="1"/>
      </rPr>
      <t>11</t>
    </r>
    <r>
      <rPr>
        <sz val="8"/>
        <rFont val="Times New Roman"/>
        <family val="1"/>
      </rPr>
      <t>Source: World Nuclear Association.</t>
    </r>
  </si>
  <si>
    <r>
      <rPr>
        <vertAlign val="superscript"/>
        <sz val="8"/>
        <rFont val="Times New Roman"/>
        <family val="1"/>
      </rPr>
      <t>12</t>
    </r>
    <r>
      <rPr>
        <sz val="8"/>
        <rFont val="Times New Roman"/>
        <family val="1"/>
      </rPr>
      <t>Less than .05 percent.</t>
    </r>
  </si>
  <si>
    <t>Denmark, the Faroe Islands, and Greenland</t>
  </si>
  <si>
    <t>Advance Data Release of the</t>
  </si>
  <si>
    <t>2020-21 Annual Tables</t>
  </si>
  <si>
    <t>These tables are an advance data release of those to be</t>
  </si>
  <si>
    <t>incorporated in the USGS Minerals Yearbook 2020-21,</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</si>
  <si>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</si>
  <si>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</si>
  <si>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</si>
  <si>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</si>
  <si>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</si>
  <si>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April 30,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</si>
</sst>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
  </numFmts>
  <fonts count="24" x14ac:knownFonts="1">
    <font>
      <sz val="11"/>
      <color theme="1"/>
      <name val="Calibri"/>
      <family val="2"/>
      <scheme val="minor"/>
    </font>
    <font>
      <sz val="10"/>
      <name val="Arial"/>
      <family val="2"/>
    </font>
    <font>
      <sz val="8"/>
      <name val="Times New Roman"/>
      <family val="1"/>
    </font>
    <font>
      <vertAlign val="superscript"/>
      <sz val="8"/>
      <name val="Times New Roman"/>
      <family val="1"/>
    </font>
    <font>
      <b/>
      <vertAlign val="superscript"/>
      <sz val="8"/>
      <name val="Times New Roman"/>
      <family val="1"/>
    </font>
    <font>
      <vertAlign val="subscript"/>
      <sz val="8"/>
      <name val="Times New Roman"/>
      <family val="1"/>
    </font>
    <font>
      <sz val="12"/>
      <color theme="1"/>
      <name val="Calibri"/>
      <family val="2"/>
      <scheme val="minor"/>
    </font>
    <font>
      <sz val="6"/>
      <name val="Times New Roman"/>
      <family val="1"/>
    </font>
    <font>
      <sz val="11"/>
      <name val="Calibri"/>
      <family val="2"/>
      <scheme val="minor"/>
    </font>
    <font>
      <sz val="11"/>
      <color indexed="8"/>
      <name val="Calibri"/>
      <family val="2"/>
    </font>
    <font>
      <sz val="8"/>
      <color theme="1"/>
      <name val="Times New Roman"/>
      <family val="1"/>
    </font>
    <font>
      <vertAlign val="superscript"/>
      <sz val="8"/>
      <color theme="1"/>
      <name val="Times New Roman"/>
      <family val="1"/>
    </font>
    <font>
      <sz val="9"/>
      <color theme="1"/>
      <name val="Segoe UI"/>
      <family val="2"/>
    </font>
    <font>
      <sz val="8"/>
      <color rgb="FF000000"/>
      <name val="Times New Roman"/>
      <family val="1"/>
    </font>
    <font>
      <sz val="11"/>
      <color theme="1"/>
      <name val="Calibri"/>
      <family val="2"/>
      <scheme val="minor"/>
    </font>
    <font>
      <sz val="8"/>
      <color rgb="FF00B0F0"/>
      <name val="Times New Roman"/>
      <family val="1"/>
    </font>
    <font>
      <sz val="8"/>
      <color indexed="10"/>
      <name val="Times New Roman"/>
      <family val="1"/>
    </font>
    <font>
      <sz val="10"/>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7">
    <border>
      <left/>
      <right/>
      <top/>
      <bottom/>
      <diagonal/>
    </border>
    <border>
      <left/>
      <right/>
      <top style="hair">
        <color auto="1"/>
      </top>
      <bottom/>
      <diagonal/>
    </border>
    <border>
      <left/>
      <right/>
      <top/>
      <bottom style="hair">
        <color indexed="64"/>
      </bottom>
      <diagonal/>
    </border>
    <border>
      <left/>
      <right/>
      <top style="thin">
        <color indexed="64"/>
      </top>
      <bottom style="hair">
        <color indexed="64"/>
      </bottom>
      <diagonal/>
    </border>
    <border>
      <left/>
      <right/>
      <top/>
      <bottom style="thin">
        <color indexed="64"/>
      </bottom>
      <diagonal/>
    </border>
    <border>
      <left/>
      <right/>
      <top style="hair">
        <color auto="1"/>
      </top>
      <bottom style="hair">
        <color auto="1"/>
      </bottom>
      <diagonal/>
    </border>
    <border>
      <left/>
      <right/>
      <top style="hair">
        <color theme="1"/>
      </top>
      <bottom style="hair">
        <color theme="1"/>
      </bottom>
      <diagonal/>
    </border>
    <border>
      <left/>
      <right/>
      <top style="hair">
        <color indexed="8"/>
      </top>
      <bottom/>
      <diagonal/>
    </border>
    <border>
      <left/>
      <right/>
      <top style="hair">
        <color indexed="64"/>
      </top>
      <bottom style="hair">
        <color indexed="64"/>
      </bottom>
      <diagonal/>
    </border>
    <border>
      <left/>
      <right/>
      <top/>
      <bottom style="hair">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0">
    <xf numFmtId="0" fontId="0"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43" fontId="9" fillId="0" borderId="0" applyFont="0" applyFill="0" applyBorder="0" applyAlignment="0" applyProtection="0"/>
    <xf numFmtId="43" fontId="6"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0" fontId="1" fillId="0" borderId="0"/>
    <xf numFmtId="0" fontId="17" fillId="0" borderId="0"/>
    <xf numFmtId="0" fontId="1" fillId="0" borderId="0"/>
    <xf numFmtId="0" fontId="1" fillId="0" borderId="0"/>
    <xf numFmtId="0" fontId="1" fillId="0" borderId="0"/>
    <xf numFmtId="43" fontId="6" fillId="0" borderId="0" applyFont="0" applyFill="0" applyBorder="0" applyAlignment="0" applyProtection="0"/>
    <xf numFmtId="43" fontId="9" fillId="0" borderId="0" applyFont="0" applyFill="0" applyBorder="0" applyAlignment="0" applyProtection="0"/>
    <xf numFmtId="0" fontId="2" fillId="0" borderId="0"/>
    <xf numFmtId="0" fontId="14" fillId="0" borderId="0"/>
  </cellStyleXfs>
  <cellXfs count="212">
    <xf numFmtId="0" fontId="0" fillId="0" borderId="0" xfId="0"/>
    <xf numFmtId="3" fontId="2" fillId="0" borderId="0" xfId="3" applyNumberFormat="1" applyFont="1" applyFill="1" applyBorder="1" applyAlignment="1">
      <alignment horizontal="right" vertical="center"/>
    </xf>
    <xf numFmtId="3" fontId="2" fillId="0" borderId="0" xfId="3" applyNumberFormat="1" applyFont="1" applyFill="1" applyAlignment="1">
      <alignment horizontal="right" vertical="center"/>
    </xf>
    <xf numFmtId="49" fontId="2" fillId="0" borderId="4" xfId="3" applyNumberFormat="1" applyFont="1" applyFill="1" applyBorder="1" applyAlignment="1">
      <alignment horizontal="right" vertical="center"/>
    </xf>
    <xf numFmtId="49" fontId="2" fillId="0" borderId="0" xfId="3" applyNumberFormat="1" applyFont="1" applyFill="1" applyAlignment="1">
      <alignment horizontal="right" vertical="center"/>
    </xf>
    <xf numFmtId="3" fontId="2" fillId="0" borderId="0" xfId="0" applyNumberFormat="1" applyFont="1" applyFill="1" applyAlignment="1">
      <alignment horizontal="right" vertical="center"/>
    </xf>
    <xf numFmtId="3" fontId="2" fillId="0" borderId="0" xfId="0" quotePrefix="1" applyNumberFormat="1" applyFont="1" applyFill="1" applyAlignment="1">
      <alignment horizontal="right" vertical="center"/>
    </xf>
    <xf numFmtId="164" fontId="2" fillId="0" borderId="4" xfId="0" quotePrefix="1" applyNumberFormat="1" applyFont="1" applyFill="1" applyBorder="1" applyAlignment="1">
      <alignment horizontal="right" vertical="center"/>
    </xf>
    <xf numFmtId="3" fontId="2" fillId="0" borderId="1" xfId="0" applyNumberFormat="1" applyFont="1" applyFill="1" applyBorder="1" applyAlignment="1">
      <alignment vertical="center"/>
    </xf>
    <xf numFmtId="3" fontId="2" fillId="0" borderId="0" xfId="0" applyNumberFormat="1" applyFont="1" applyFill="1" applyAlignment="1">
      <alignment vertical="center"/>
    </xf>
    <xf numFmtId="49" fontId="2" fillId="0" borderId="0" xfId="0" applyNumberFormat="1" applyFont="1" applyFill="1" applyAlignment="1">
      <alignment horizontal="right" vertical="center"/>
    </xf>
    <xf numFmtId="49" fontId="2" fillId="0" borderId="4" xfId="0" applyNumberFormat="1" applyFont="1" applyFill="1" applyBorder="1" applyAlignment="1">
      <alignment horizontal="right" vertical="center"/>
    </xf>
    <xf numFmtId="49" fontId="2" fillId="0" borderId="2" xfId="0" applyNumberFormat="1" applyFont="1" applyFill="1" applyBorder="1" applyAlignment="1">
      <alignment horizontal="center" vertical="center"/>
    </xf>
    <xf numFmtId="49" fontId="2" fillId="0" borderId="0" xfId="0" applyNumberFormat="1" applyFont="1" applyFill="1" applyAlignment="1">
      <alignment vertical="center"/>
    </xf>
    <xf numFmtId="49" fontId="2" fillId="0" borderId="0" xfId="0" applyNumberFormat="1" applyFont="1" applyFill="1" applyAlignment="1">
      <alignment horizontal="center" vertical="center"/>
    </xf>
    <xf numFmtId="3" fontId="2" fillId="0" borderId="0" xfId="2" applyNumberFormat="1" applyFont="1" applyFill="1" applyAlignment="1">
      <alignment horizontal="right" vertical="center"/>
    </xf>
    <xf numFmtId="49" fontId="2" fillId="0" borderId="0" xfId="0" quotePrefix="1" applyNumberFormat="1" applyFont="1" applyFill="1" applyAlignment="1">
      <alignment horizontal="right" vertical="center"/>
    </xf>
    <xf numFmtId="49" fontId="3" fillId="0" borderId="0" xfId="0" quotePrefix="1" applyNumberFormat="1" applyFont="1" applyFill="1" applyAlignment="1">
      <alignment horizontal="left" vertical="center"/>
    </xf>
    <xf numFmtId="49" fontId="3" fillId="0" borderId="0" xfId="0" applyNumberFormat="1" applyFont="1" applyFill="1" applyAlignment="1">
      <alignment horizontal="left" vertical="center"/>
    </xf>
    <xf numFmtId="49" fontId="3" fillId="0" borderId="0" xfId="0" quotePrefix="1" applyNumberFormat="1" applyFont="1" applyFill="1" applyAlignment="1">
      <alignment vertical="center"/>
    </xf>
    <xf numFmtId="49" fontId="3" fillId="0" borderId="0" xfId="0" applyNumberFormat="1" applyFont="1" applyFill="1" applyAlignment="1">
      <alignment vertical="center"/>
    </xf>
    <xf numFmtId="49" fontId="3" fillId="0" borderId="0" xfId="0" quotePrefix="1" applyNumberFormat="1" applyFont="1" applyFill="1" applyAlignment="1">
      <alignment horizontal="right" vertical="center"/>
    </xf>
    <xf numFmtId="49" fontId="3" fillId="0" borderId="0" xfId="0" applyNumberFormat="1" applyFont="1" applyFill="1" applyAlignment="1">
      <alignment horizontal="right" vertical="center"/>
    </xf>
    <xf numFmtId="0" fontId="3" fillId="0" borderId="0" xfId="0" applyFont="1" applyFill="1" applyAlignment="1">
      <alignment vertical="center"/>
    </xf>
    <xf numFmtId="0" fontId="2" fillId="0" borderId="0" xfId="0" applyFont="1" applyFill="1" applyAlignment="1">
      <alignment vertical="center"/>
    </xf>
    <xf numFmtId="49" fontId="2" fillId="0" borderId="4" xfId="0" quotePrefix="1" applyNumberFormat="1" applyFont="1" applyFill="1" applyBorder="1" applyAlignment="1">
      <alignment horizontal="right" vertical="center"/>
    </xf>
    <xf numFmtId="164" fontId="2" fillId="0" borderId="4" xfId="0" applyNumberFormat="1" applyFont="1" applyFill="1" applyBorder="1" applyAlignment="1">
      <alignment horizontal="right" vertical="center"/>
    </xf>
    <xf numFmtId="3" fontId="2" fillId="0" borderId="3" xfId="0" applyNumberFormat="1" applyFont="1" applyFill="1" applyBorder="1" applyAlignment="1">
      <alignment vertical="center"/>
    </xf>
    <xf numFmtId="49" fontId="3" fillId="0" borderId="3" xfId="0" applyNumberFormat="1" applyFont="1" applyFill="1" applyBorder="1" applyAlignment="1">
      <alignment vertical="center"/>
    </xf>
    <xf numFmtId="49" fontId="7" fillId="0" borderId="0" xfId="0" quotePrefix="1" applyNumberFormat="1" applyFont="1" applyFill="1" applyAlignment="1">
      <alignment horizontal="right" vertical="center"/>
    </xf>
    <xf numFmtId="49" fontId="3" fillId="0" borderId="1" xfId="0" applyNumberFormat="1" applyFont="1" applyFill="1" applyBorder="1" applyAlignment="1">
      <alignment horizontal="left" vertical="center"/>
    </xf>
    <xf numFmtId="49" fontId="3" fillId="0" borderId="1" xfId="0" applyNumberFormat="1" applyFont="1" applyFill="1" applyBorder="1" applyAlignment="1">
      <alignment vertical="center"/>
    </xf>
    <xf numFmtId="49" fontId="4" fillId="0" borderId="0" xfId="0" applyNumberFormat="1" applyFont="1" applyFill="1" applyAlignment="1">
      <alignment vertical="center"/>
    </xf>
    <xf numFmtId="49" fontId="3" fillId="0" borderId="0" xfId="0" applyNumberFormat="1" applyFont="1" applyFill="1" applyAlignment="1">
      <alignment horizontal="center" vertical="center"/>
    </xf>
    <xf numFmtId="3" fontId="2" fillId="0" borderId="0" xfId="0" quotePrefix="1" applyNumberFormat="1" applyFont="1" applyFill="1" applyAlignment="1">
      <alignment vertical="center"/>
    </xf>
    <xf numFmtId="3" fontId="2" fillId="0" borderId="0" xfId="3" applyNumberFormat="1" applyFont="1" applyFill="1" applyAlignment="1">
      <alignment horizontal="right"/>
    </xf>
    <xf numFmtId="3" fontId="2" fillId="0" borderId="0" xfId="3" quotePrefix="1" applyNumberFormat="1" applyFont="1" applyFill="1" applyAlignment="1">
      <alignment horizontal="right" vertical="center"/>
    </xf>
    <xf numFmtId="43" fontId="3" fillId="0" borderId="0" xfId="10" applyFont="1" applyFill="1" applyAlignment="1">
      <alignment vertical="center"/>
    </xf>
    <xf numFmtId="0" fontId="3" fillId="0" borderId="0" xfId="0" applyFont="1" applyFill="1" applyAlignment="1">
      <alignment horizontal="left" vertical="center"/>
    </xf>
    <xf numFmtId="49" fontId="10" fillId="0" borderId="0" xfId="0" applyNumberFormat="1" applyFont="1" applyAlignment="1">
      <alignment vertical="center"/>
    </xf>
    <xf numFmtId="49" fontId="2" fillId="0" borderId="0" xfId="0" applyNumberFormat="1" applyFont="1" applyFill="1" applyAlignment="1">
      <alignment horizontal="left" vertical="center"/>
    </xf>
    <xf numFmtId="49" fontId="10" fillId="0" borderId="0" xfId="0" applyNumberFormat="1" applyFont="1" applyAlignment="1">
      <alignment horizontal="center" vertical="center"/>
    </xf>
    <xf numFmtId="3" fontId="2" fillId="0" borderId="0" xfId="16" applyNumberFormat="1" applyFont="1" applyFill="1" applyBorder="1" applyAlignment="1">
      <alignment horizontal="right" vertical="center"/>
    </xf>
    <xf numFmtId="3" fontId="2" fillId="0" borderId="0" xfId="16" applyNumberFormat="1" applyFont="1" applyFill="1" applyAlignment="1">
      <alignment horizontal="right" vertical="center"/>
    </xf>
    <xf numFmtId="3" fontId="2" fillId="0" borderId="0" xfId="16" quotePrefix="1" applyNumberFormat="1" applyFont="1" applyFill="1" applyBorder="1" applyAlignment="1">
      <alignment horizontal="right" vertical="center"/>
    </xf>
    <xf numFmtId="49" fontId="7" fillId="0" borderId="0" xfId="16" applyNumberFormat="1" applyFont="1" applyFill="1" applyBorder="1" applyAlignment="1">
      <alignment horizontal="right" vertical="center"/>
    </xf>
    <xf numFmtId="0" fontId="12" fillId="0" borderId="0" xfId="0" applyFont="1"/>
    <xf numFmtId="49" fontId="2" fillId="0" borderId="0" xfId="15" applyNumberFormat="1" applyFont="1" applyFill="1" applyAlignment="1">
      <alignment vertical="center"/>
    </xf>
    <xf numFmtId="49" fontId="2" fillId="0" borderId="0" xfId="15" applyNumberFormat="1" applyFont="1" applyFill="1" applyAlignment="1">
      <alignment horizontal="center" vertical="center"/>
    </xf>
    <xf numFmtId="49" fontId="2" fillId="0" borderId="0" xfId="15" applyNumberFormat="1" applyFont="1" applyFill="1" applyAlignment="1">
      <alignment horizontal="left" vertical="center"/>
    </xf>
    <xf numFmtId="49" fontId="2" fillId="0" borderId="2" xfId="15" applyNumberFormat="1" applyFont="1" applyFill="1" applyBorder="1" applyAlignment="1">
      <alignment horizontal="center" vertical="center"/>
    </xf>
    <xf numFmtId="49" fontId="2" fillId="0" borderId="2" xfId="15" applyNumberFormat="1" applyFont="1" applyFill="1" applyBorder="1" applyAlignment="1">
      <alignment horizontal="right" vertical="center"/>
    </xf>
    <xf numFmtId="49" fontId="2" fillId="0" borderId="2" xfId="15" applyNumberFormat="1" applyFont="1" applyFill="1" applyBorder="1" applyAlignment="1">
      <alignment horizontal="left" vertical="center"/>
    </xf>
    <xf numFmtId="49" fontId="2" fillId="0" borderId="8" xfId="0" applyNumberFormat="1" applyFont="1" applyFill="1" applyBorder="1" applyAlignment="1">
      <alignment horizontal="left" vertical="center"/>
    </xf>
    <xf numFmtId="3" fontId="2" fillId="0" borderId="0" xfId="15" applyNumberFormat="1" applyFont="1" applyFill="1" applyAlignment="1">
      <alignment horizontal="center" vertical="center"/>
    </xf>
    <xf numFmtId="49" fontId="2" fillId="0" borderId="2" xfId="15" applyNumberFormat="1" applyFont="1" applyFill="1" applyBorder="1" applyAlignment="1">
      <alignment vertical="center"/>
    </xf>
    <xf numFmtId="3" fontId="2" fillId="0" borderId="2" xfId="15" applyNumberFormat="1" applyFont="1" applyFill="1" applyBorder="1" applyAlignment="1">
      <alignment horizontal="center" vertical="center"/>
    </xf>
    <xf numFmtId="49" fontId="2" fillId="0" borderId="0" xfId="15" applyNumberFormat="1" applyFont="1" applyFill="1" applyAlignment="1">
      <alignment horizontal="center"/>
    </xf>
    <xf numFmtId="49" fontId="2" fillId="0" borderId="2" xfId="15" quotePrefix="1" applyNumberFormat="1" applyFont="1" applyFill="1" applyBorder="1" applyAlignment="1">
      <alignment horizontal="center" vertical="center"/>
    </xf>
    <xf numFmtId="49" fontId="2" fillId="0" borderId="8" xfId="15" applyNumberFormat="1" applyFont="1" applyFill="1" applyBorder="1" applyAlignment="1">
      <alignment horizontal="center" vertical="center"/>
    </xf>
    <xf numFmtId="49" fontId="2" fillId="0" borderId="8" xfId="15" applyNumberFormat="1" applyFont="1" applyFill="1" applyBorder="1" applyAlignment="1">
      <alignment vertical="center"/>
    </xf>
    <xf numFmtId="0" fontId="2" fillId="0" borderId="0" xfId="15" applyFont="1" applyFill="1" applyAlignment="1">
      <alignment vertical="center" wrapText="1"/>
    </xf>
    <xf numFmtId="0" fontId="2" fillId="0" borderId="0" xfId="15" applyFont="1" applyFill="1" applyAlignment="1">
      <alignment vertical="center"/>
    </xf>
    <xf numFmtId="49" fontId="2" fillId="0" borderId="1" xfId="0" applyNumberFormat="1" applyFont="1" applyFill="1" applyBorder="1" applyAlignment="1">
      <alignment vertical="center"/>
    </xf>
    <xf numFmtId="49" fontId="2" fillId="0" borderId="2" xfId="0" applyNumberFormat="1" applyFont="1" applyFill="1" applyBorder="1" applyAlignment="1">
      <alignment horizontal="left" vertical="center"/>
    </xf>
    <xf numFmtId="3" fontId="2" fillId="0" borderId="0" xfId="3" applyNumberFormat="1" applyFont="1" applyFill="1" applyBorder="1" applyAlignment="1">
      <alignment horizontal="right"/>
    </xf>
    <xf numFmtId="3" fontId="2" fillId="0" borderId="0" xfId="16" applyNumberFormat="1" applyFont="1" applyFill="1" applyAlignment="1">
      <alignment horizontal="right"/>
    </xf>
    <xf numFmtId="49" fontId="2" fillId="0" borderId="0" xfId="16" applyNumberFormat="1" applyFont="1" applyFill="1" applyAlignment="1">
      <alignment horizontal="right"/>
    </xf>
    <xf numFmtId="49" fontId="2" fillId="0" borderId="8" xfId="0" applyNumberFormat="1" applyFont="1" applyFill="1" applyBorder="1" applyAlignment="1">
      <alignment vertical="center"/>
    </xf>
    <xf numFmtId="3" fontId="2" fillId="0" borderId="0" xfId="17" applyNumberFormat="1" applyFont="1" applyFill="1" applyBorder="1" applyAlignment="1">
      <alignment horizontal="right" vertical="center"/>
    </xf>
    <xf numFmtId="49" fontId="2" fillId="0" borderId="0" xfId="16" applyNumberFormat="1" applyFont="1" applyFill="1" applyBorder="1" applyAlignment="1">
      <alignment horizontal="right"/>
    </xf>
    <xf numFmtId="49" fontId="2" fillId="0" borderId="8" xfId="0" applyNumberFormat="1" applyFont="1" applyFill="1" applyBorder="1" applyAlignment="1">
      <alignment horizontal="left" vertical="center" indent="1"/>
    </xf>
    <xf numFmtId="164" fontId="2" fillId="0" borderId="0" xfId="0" applyNumberFormat="1" applyFont="1" applyFill="1" applyAlignment="1">
      <alignment vertical="center"/>
    </xf>
    <xf numFmtId="164" fontId="2" fillId="0" borderId="4" xfId="0" applyNumberFormat="1" applyFont="1" applyFill="1" applyBorder="1" applyAlignment="1">
      <alignment vertical="center"/>
    </xf>
    <xf numFmtId="49" fontId="2" fillId="0" borderId="4" xfId="0" applyNumberFormat="1" applyFont="1" applyFill="1" applyBorder="1" applyAlignment="1">
      <alignment vertical="center"/>
    </xf>
    <xf numFmtId="49" fontId="3" fillId="0" borderId="4" xfId="0" applyNumberFormat="1" applyFont="1" applyFill="1" applyBorder="1" applyAlignment="1">
      <alignment horizontal="left" vertical="center"/>
    </xf>
    <xf numFmtId="49" fontId="2" fillId="0" borderId="2" xfId="0" applyNumberFormat="1" applyFont="1" applyFill="1" applyBorder="1" applyAlignment="1">
      <alignment vertical="center"/>
    </xf>
    <xf numFmtId="3" fontId="2" fillId="0" borderId="2" xfId="0" applyNumberFormat="1" applyFont="1" applyFill="1" applyBorder="1" applyAlignment="1">
      <alignment vertical="center"/>
    </xf>
    <xf numFmtId="49" fontId="3" fillId="0" borderId="2" xfId="0" applyNumberFormat="1" applyFont="1" applyFill="1" applyBorder="1" applyAlignment="1">
      <alignment horizontal="left" vertical="center"/>
    </xf>
    <xf numFmtId="49" fontId="3" fillId="0" borderId="2" xfId="0" applyNumberFormat="1" applyFont="1" applyFill="1" applyBorder="1" applyAlignment="1">
      <alignment vertical="center"/>
    </xf>
    <xf numFmtId="0" fontId="8" fillId="0" borderId="0" xfId="0" applyFont="1" applyFill="1" applyAlignment="1">
      <alignment horizontal="left" vertical="center"/>
    </xf>
    <xf numFmtId="49" fontId="8" fillId="0" borderId="0" xfId="0" applyNumberFormat="1" applyFont="1" applyFill="1" applyAlignment="1">
      <alignment horizontal="left" vertical="center"/>
    </xf>
    <xf numFmtId="49" fontId="2" fillId="0" borderId="1" xfId="0" applyNumberFormat="1" applyFont="1" applyFill="1" applyBorder="1" applyAlignment="1">
      <alignment horizontal="center" vertical="center"/>
    </xf>
    <xf numFmtId="49" fontId="2" fillId="0" borderId="0" xfId="3" applyNumberFormat="1" applyFont="1" applyFill="1" applyBorder="1" applyAlignment="1">
      <alignment horizontal="right"/>
    </xf>
    <xf numFmtId="49" fontId="2" fillId="0" borderId="1" xfId="0" applyNumberFormat="1" applyFont="1" applyFill="1" applyBorder="1" applyAlignment="1">
      <alignment horizontal="left" vertical="center"/>
    </xf>
    <xf numFmtId="2" fontId="2" fillId="0" borderId="0" xfId="0" applyNumberFormat="1" applyFont="1" applyFill="1" applyAlignment="1">
      <alignment vertical="center"/>
    </xf>
    <xf numFmtId="164" fontId="2" fillId="0" borderId="0" xfId="9" applyNumberFormat="1" applyFont="1" applyFill="1" applyAlignment="1">
      <alignment vertical="center"/>
    </xf>
    <xf numFmtId="3" fontId="2" fillId="0" borderId="0" xfId="8" applyNumberFormat="1" applyFont="1" applyFill="1" applyBorder="1" applyAlignment="1">
      <alignment horizontal="right"/>
    </xf>
    <xf numFmtId="3" fontId="2" fillId="0" borderId="0" xfId="8" applyNumberFormat="1" applyFont="1" applyFill="1" applyAlignment="1">
      <alignment horizontal="right"/>
    </xf>
    <xf numFmtId="3" fontId="2" fillId="0" borderId="0" xfId="8" applyNumberFormat="1" applyFont="1" applyFill="1" applyBorder="1" applyAlignment="1">
      <alignment horizontal="right" vertical="center"/>
    </xf>
    <xf numFmtId="49" fontId="2" fillId="0" borderId="3" xfId="0" applyNumberFormat="1" applyFont="1" applyFill="1" applyBorder="1" applyAlignment="1">
      <alignment vertical="center"/>
    </xf>
    <xf numFmtId="49" fontId="3" fillId="0" borderId="3" xfId="0" applyNumberFormat="1" applyFont="1" applyFill="1" applyBorder="1" applyAlignment="1">
      <alignment horizontal="left" vertical="center"/>
    </xf>
    <xf numFmtId="3" fontId="2" fillId="0" borderId="0" xfId="0" applyNumberFormat="1" applyFont="1" applyFill="1" applyAlignment="1">
      <alignment horizontal="left" vertical="center"/>
    </xf>
    <xf numFmtId="3" fontId="2" fillId="0" borderId="0" xfId="16" applyNumberFormat="1" applyFont="1" applyFill="1" applyBorder="1" applyAlignment="1">
      <alignment horizontal="right"/>
    </xf>
    <xf numFmtId="0" fontId="0" fillId="0" borderId="0" xfId="0" applyFill="1" applyAlignment="1">
      <alignment vertical="center"/>
    </xf>
    <xf numFmtId="0" fontId="2" fillId="0" borderId="1" xfId="11" applyFont="1" applyFill="1" applyBorder="1" applyAlignment="1">
      <alignment vertical="center"/>
    </xf>
    <xf numFmtId="0" fontId="2" fillId="0" borderId="0" xfId="11" applyFont="1" applyFill="1" applyAlignment="1">
      <alignment vertical="center"/>
    </xf>
    <xf numFmtId="3" fontId="2" fillId="0" borderId="0" xfId="11" applyNumberFormat="1" applyFont="1" applyFill="1" applyAlignment="1">
      <alignment horizontal="center" vertical="center"/>
    </xf>
    <xf numFmtId="3" fontId="2" fillId="0" borderId="0" xfId="11" applyNumberFormat="1" applyFont="1" applyFill="1" applyAlignment="1">
      <alignment vertical="center"/>
    </xf>
    <xf numFmtId="0" fontId="2" fillId="0" borderId="2" xfId="11" applyFont="1" applyFill="1" applyBorder="1" applyAlignment="1">
      <alignment vertical="center"/>
    </xf>
    <xf numFmtId="3" fontId="2" fillId="0" borderId="2" xfId="11" quotePrefix="1" applyNumberFormat="1" applyFont="1" applyFill="1" applyBorder="1" applyAlignment="1">
      <alignment horizontal="right" vertical="center"/>
    </xf>
    <xf numFmtId="3" fontId="16" fillId="0" borderId="2" xfId="11" applyNumberFormat="1" applyFont="1" applyFill="1" applyBorder="1" applyAlignment="1">
      <alignment horizontal="center" vertical="center"/>
    </xf>
    <xf numFmtId="1" fontId="2" fillId="0" borderId="8" xfId="11" quotePrefix="1" applyNumberFormat="1" applyFont="1" applyFill="1" applyBorder="1" applyAlignment="1">
      <alignment horizontal="right" vertical="center"/>
    </xf>
    <xf numFmtId="3" fontId="2" fillId="0" borderId="8" xfId="11" quotePrefix="1" applyNumberFormat="1" applyFont="1" applyFill="1" applyBorder="1" applyAlignment="1">
      <alignment horizontal="right" vertical="center"/>
    </xf>
    <xf numFmtId="0" fontId="2" fillId="0" borderId="8" xfId="11" quotePrefix="1" applyFont="1" applyFill="1" applyBorder="1" applyAlignment="1">
      <alignment horizontal="right" vertical="center"/>
    </xf>
    <xf numFmtId="165" fontId="2" fillId="0" borderId="0" xfId="11" applyNumberFormat="1" applyFont="1" applyFill="1" applyAlignment="1">
      <alignment vertical="center"/>
    </xf>
    <xf numFmtId="0" fontId="2" fillId="0" borderId="0" xfId="5" applyFont="1" applyFill="1" applyAlignment="1">
      <alignment vertical="center"/>
    </xf>
    <xf numFmtId="3" fontId="2" fillId="0" borderId="1" xfId="7" applyNumberFormat="1" applyFont="1" applyFill="1" applyBorder="1" applyAlignment="1">
      <alignment vertical="center"/>
    </xf>
    <xf numFmtId="2" fontId="2" fillId="0" borderId="1" xfId="11" applyNumberFormat="1" applyFont="1" applyFill="1" applyBorder="1" applyAlignment="1">
      <alignment vertical="center"/>
    </xf>
    <xf numFmtId="3" fontId="2" fillId="0" borderId="1" xfId="7" applyNumberFormat="1" applyFont="1" applyFill="1" applyBorder="1" applyAlignment="1">
      <alignment horizontal="right" vertical="center"/>
    </xf>
    <xf numFmtId="166" fontId="2" fillId="0" borderId="1" xfId="11" applyNumberFormat="1" applyFont="1" applyFill="1" applyBorder="1" applyAlignment="1">
      <alignment horizontal="right" vertical="center"/>
    </xf>
    <xf numFmtId="165" fontId="2" fillId="0" borderId="1" xfId="11" applyNumberFormat="1" applyFont="1" applyFill="1" applyBorder="1" applyAlignment="1">
      <alignment horizontal="right" vertical="center"/>
    </xf>
    <xf numFmtId="1" fontId="3" fillId="0" borderId="2" xfId="11" applyNumberFormat="1" applyFont="1" applyFill="1" applyBorder="1" applyAlignment="1">
      <alignment horizontal="left" vertical="center"/>
    </xf>
    <xf numFmtId="3" fontId="2" fillId="0" borderId="2" xfId="7" applyNumberFormat="1" applyFont="1" applyFill="1" applyBorder="1" applyAlignment="1">
      <alignment horizontal="right" vertical="center"/>
    </xf>
    <xf numFmtId="0" fontId="3" fillId="0" borderId="2" xfId="11" applyFont="1" applyFill="1" applyBorder="1" applyAlignment="1">
      <alignment horizontal="left" vertical="center"/>
    </xf>
    <xf numFmtId="165" fontId="2" fillId="0" borderId="9" xfId="0" applyNumberFormat="1" applyFont="1" applyFill="1" applyBorder="1" applyAlignment="1">
      <alignment horizontal="right" vertical="center"/>
    </xf>
    <xf numFmtId="0" fontId="3" fillId="0" borderId="2" xfId="14" applyFont="1" applyFill="1" applyBorder="1" applyAlignment="1">
      <alignment horizontal="left" vertical="center"/>
    </xf>
    <xf numFmtId="165" fontId="2" fillId="0" borderId="9" xfId="0" applyNumberFormat="1" applyFont="1" applyFill="1" applyBorder="1" applyAlignment="1">
      <alignment vertical="center"/>
    </xf>
    <xf numFmtId="164" fontId="0" fillId="0" borderId="0" xfId="9" applyNumberFormat="1" applyFont="1" applyFill="1"/>
    <xf numFmtId="0" fontId="0" fillId="0" borderId="0" xfId="0" applyFill="1"/>
    <xf numFmtId="165" fontId="0" fillId="0" borderId="0" xfId="0" applyNumberFormat="1" applyFill="1"/>
    <xf numFmtId="3" fontId="2" fillId="0" borderId="0" xfId="5" applyNumberFormat="1" applyFont="1" applyFill="1" applyAlignment="1">
      <alignment vertical="center"/>
    </xf>
    <xf numFmtId="0" fontId="15" fillId="0" borderId="0" xfId="11" applyFont="1" applyFill="1" applyAlignment="1">
      <alignment vertical="center"/>
    </xf>
    <xf numFmtId="0" fontId="16" fillId="0" borderId="0" xfId="11" applyFont="1" applyFill="1" applyAlignment="1">
      <alignment vertical="center"/>
    </xf>
    <xf numFmtId="0" fontId="15" fillId="0" borderId="0" xfId="5" applyFont="1" applyFill="1" applyAlignment="1">
      <alignment vertical="center"/>
    </xf>
    <xf numFmtId="3" fontId="2" fillId="0" borderId="1" xfId="11" applyNumberFormat="1" applyFont="1" applyFill="1" applyBorder="1" applyAlignment="1">
      <alignment vertical="center"/>
    </xf>
    <xf numFmtId="3" fontId="15" fillId="0" borderId="1" xfId="11" applyNumberFormat="1" applyFont="1" applyFill="1" applyBorder="1" applyAlignment="1">
      <alignment vertical="center"/>
    </xf>
    <xf numFmtId="3" fontId="2" fillId="0" borderId="2" xfId="6" applyNumberFormat="1" applyFont="1" applyFill="1" applyBorder="1" applyAlignment="1">
      <alignment vertical="center"/>
    </xf>
    <xf numFmtId="0" fontId="3" fillId="0" borderId="2" xfId="6" applyFont="1" applyFill="1" applyBorder="1" applyAlignment="1">
      <alignment horizontal="left" vertical="center"/>
    </xf>
    <xf numFmtId="3" fontId="0" fillId="0" borderId="0" xfId="0" applyNumberFormat="1" applyFill="1"/>
    <xf numFmtId="0" fontId="2" fillId="0" borderId="0" xfId="11" applyFont="1" applyFill="1" applyAlignment="1">
      <alignment horizontal="center" vertical="center"/>
    </xf>
    <xf numFmtId="0" fontId="3" fillId="0" borderId="1" xfId="11" applyFont="1" applyFill="1" applyBorder="1" applyAlignment="1">
      <alignment horizontal="left" vertical="center"/>
    </xf>
    <xf numFmtId="0" fontId="2" fillId="0" borderId="1" xfId="11" applyFont="1" applyFill="1" applyBorder="1" applyAlignment="1">
      <alignment horizontal="center" vertical="center"/>
    </xf>
    <xf numFmtId="3" fontId="2" fillId="0" borderId="1" xfId="13" applyNumberFormat="1" applyFont="1" applyFill="1" applyBorder="1" applyAlignment="1">
      <alignment horizontal="center" vertical="center"/>
    </xf>
    <xf numFmtId="3" fontId="2" fillId="0" borderId="0" xfId="13" applyNumberFormat="1" applyFont="1" applyFill="1" applyAlignment="1">
      <alignment horizontal="center" vertical="center"/>
    </xf>
    <xf numFmtId="0" fontId="3" fillId="0" borderId="0" xfId="11" applyFont="1" applyFill="1" applyAlignment="1">
      <alignment horizontal="left" vertical="center"/>
    </xf>
    <xf numFmtId="0" fontId="2" fillId="0" borderId="0" xfId="11" applyFont="1" applyFill="1" applyAlignment="1">
      <alignment horizontal="left" vertical="center"/>
    </xf>
    <xf numFmtId="49" fontId="2" fillId="0" borderId="0" xfId="11" applyNumberFormat="1" applyFont="1" applyFill="1" applyAlignment="1">
      <alignment horizontal="center" vertical="center"/>
    </xf>
    <xf numFmtId="49" fontId="2" fillId="0" borderId="2" xfId="11" applyNumberFormat="1" applyFont="1" applyFill="1" applyBorder="1" applyAlignment="1">
      <alignment horizontal="center" vertical="center"/>
    </xf>
    <xf numFmtId="49" fontId="2" fillId="0" borderId="2" xfId="11" quotePrefix="1" applyNumberFormat="1" applyFont="1" applyFill="1" applyBorder="1" applyAlignment="1">
      <alignment horizontal="center" vertical="center"/>
    </xf>
    <xf numFmtId="49" fontId="2" fillId="0" borderId="8" xfId="11" applyNumberFormat="1" applyFont="1" applyFill="1" applyBorder="1" applyAlignment="1">
      <alignment horizontal="left" vertical="center"/>
    </xf>
    <xf numFmtId="3" fontId="10" fillId="0" borderId="0" xfId="0" applyNumberFormat="1" applyFont="1" applyFill="1" applyAlignment="1">
      <alignment vertical="center"/>
    </xf>
    <xf numFmtId="0" fontId="10" fillId="0" borderId="0" xfId="0" applyFont="1" applyFill="1" applyAlignment="1">
      <alignment vertical="center"/>
    </xf>
    <xf numFmtId="165" fontId="10" fillId="0" borderId="0" xfId="0" applyNumberFormat="1" applyFont="1" applyFill="1" applyAlignment="1">
      <alignment vertical="center"/>
    </xf>
    <xf numFmtId="49" fontId="2" fillId="0" borderId="8" xfId="5" applyNumberFormat="1" applyFont="1" applyFill="1" applyBorder="1" applyAlignment="1">
      <alignment vertical="center"/>
    </xf>
    <xf numFmtId="49" fontId="2" fillId="0" borderId="7" xfId="12" applyNumberFormat="1" applyFont="1" applyFill="1" applyBorder="1" applyAlignment="1">
      <alignment horizontal="left" vertical="center" indent="1"/>
    </xf>
    <xf numFmtId="49" fontId="2" fillId="0" borderId="1" xfId="12" applyNumberFormat="1" applyFont="1" applyFill="1" applyBorder="1" applyAlignment="1">
      <alignment horizontal="left" vertical="center"/>
    </xf>
    <xf numFmtId="0" fontId="10" fillId="0" borderId="1" xfId="0" applyFont="1" applyFill="1" applyBorder="1" applyAlignment="1">
      <alignment vertical="center"/>
    </xf>
    <xf numFmtId="0" fontId="10" fillId="0" borderId="2" xfId="0" applyFont="1" applyFill="1" applyBorder="1" applyAlignment="1">
      <alignment vertical="center"/>
    </xf>
    <xf numFmtId="49" fontId="2" fillId="0" borderId="5" xfId="11" applyNumberFormat="1" applyFont="1" applyFill="1" applyBorder="1" applyAlignment="1">
      <alignment horizontal="left" vertical="center"/>
    </xf>
    <xf numFmtId="3" fontId="13" fillId="0" borderId="0" xfId="0" applyNumberFormat="1" applyFont="1" applyFill="1" applyAlignment="1">
      <alignment horizontal="right" vertical="center" shrinkToFit="1"/>
    </xf>
    <xf numFmtId="49" fontId="2" fillId="0" borderId="6" xfId="5" applyNumberFormat="1" applyFont="1" applyFill="1" applyBorder="1" applyAlignment="1">
      <alignment vertical="center"/>
    </xf>
    <xf numFmtId="49" fontId="2" fillId="0" borderId="2" xfId="11" applyNumberFormat="1" applyFont="1" applyFill="1" applyBorder="1" applyAlignment="1">
      <alignment horizontal="left" vertical="center"/>
    </xf>
    <xf numFmtId="3" fontId="13" fillId="0" borderId="2" xfId="0" applyNumberFormat="1" applyFont="1" applyFill="1" applyBorder="1" applyAlignment="1">
      <alignment horizontal="right" vertical="center" shrinkToFit="1"/>
    </xf>
    <xf numFmtId="49" fontId="10" fillId="0" borderId="0" xfId="5" applyNumberFormat="1" applyFont="1" applyFill="1" applyAlignment="1">
      <alignment vertical="center"/>
    </xf>
    <xf numFmtId="0" fontId="10" fillId="0" borderId="0" xfId="0" applyFont="1" applyFill="1" applyAlignment="1">
      <alignment vertical="center"/>
    </xf>
    <xf numFmtId="49" fontId="3" fillId="0" borderId="1" xfId="11" applyNumberFormat="1" applyFont="1" applyFill="1" applyBorder="1" applyAlignment="1">
      <alignment horizontal="left" vertical="center"/>
    </xf>
    <xf numFmtId="0" fontId="2" fillId="0" borderId="1" xfId="0" applyFont="1" applyFill="1" applyBorder="1" applyAlignment="1">
      <alignment horizontal="left" vertical="center"/>
    </xf>
    <xf numFmtId="0" fontId="10" fillId="0" borderId="1" xfId="0" applyFont="1" applyFill="1" applyBorder="1" applyAlignment="1">
      <alignment horizontal="left" vertical="center"/>
    </xf>
    <xf numFmtId="49" fontId="3" fillId="0" borderId="0" xfId="11" applyNumberFormat="1" applyFont="1" applyFill="1" applyAlignment="1">
      <alignment vertical="center"/>
    </xf>
    <xf numFmtId="0" fontId="3" fillId="0" borderId="0" xfId="11" applyFont="1" applyFill="1" applyAlignment="1">
      <alignment vertical="center"/>
    </xf>
    <xf numFmtId="49" fontId="3" fillId="0" borderId="0" xfId="6" applyNumberFormat="1" applyFont="1" applyFill="1" applyAlignment="1">
      <alignment horizontal="left" vertical="center"/>
    </xf>
    <xf numFmtId="0" fontId="10" fillId="0" borderId="0" xfId="0" applyFont="1" applyFill="1" applyAlignment="1">
      <alignment horizontal="left" vertical="center"/>
    </xf>
    <xf numFmtId="49" fontId="2" fillId="0" borderId="0" xfId="11" applyNumberFormat="1" applyFont="1" applyFill="1" applyAlignment="1">
      <alignment horizontal="center" vertical="center"/>
    </xf>
    <xf numFmtId="0" fontId="2" fillId="0" borderId="0" xfId="11" applyFont="1" applyFill="1" applyAlignment="1">
      <alignment horizontal="center" vertical="center"/>
    </xf>
    <xf numFmtId="0" fontId="2" fillId="0" borderId="2" xfId="11" applyFont="1" applyFill="1" applyBorder="1" applyAlignment="1">
      <alignment horizontal="center" vertical="center"/>
    </xf>
    <xf numFmtId="49" fontId="2" fillId="0" borderId="0" xfId="11" applyNumberFormat="1" applyFont="1" applyFill="1" applyAlignment="1">
      <alignment horizontal="left" vertical="center"/>
    </xf>
    <xf numFmtId="0" fontId="2" fillId="0" borderId="0" xfId="11" applyFont="1" applyFill="1" applyAlignment="1">
      <alignment horizontal="left" vertical="center"/>
    </xf>
    <xf numFmtId="49" fontId="2" fillId="0" borderId="1" xfId="11" applyNumberFormat="1" applyFont="1" applyFill="1" applyBorder="1" applyAlignment="1">
      <alignment horizontal="center" vertical="center"/>
    </xf>
    <xf numFmtId="0" fontId="2" fillId="0" borderId="1" xfId="11" applyFont="1" applyFill="1" applyBorder="1" applyAlignment="1">
      <alignment horizontal="center" vertical="center"/>
    </xf>
    <xf numFmtId="3" fontId="2" fillId="0" borderId="1" xfId="13" applyNumberFormat="1" applyFont="1" applyFill="1" applyBorder="1" applyAlignment="1">
      <alignment horizontal="center" vertical="center"/>
    </xf>
    <xf numFmtId="49" fontId="2" fillId="0" borderId="2" xfId="11" applyNumberFormat="1" applyFont="1" applyFill="1" applyBorder="1" applyAlignment="1">
      <alignment horizontal="center" vertical="center"/>
    </xf>
    <xf numFmtId="49" fontId="2" fillId="0" borderId="0" xfId="13" applyNumberFormat="1" applyFont="1" applyFill="1" applyAlignment="1">
      <alignment horizontal="center" vertical="center"/>
    </xf>
    <xf numFmtId="3" fontId="2" fillId="0" borderId="0" xfId="13" applyNumberFormat="1" applyFont="1" applyFill="1" applyAlignment="1">
      <alignment horizontal="center" vertical="center"/>
    </xf>
    <xf numFmtId="49" fontId="2" fillId="0" borderId="2" xfId="13" applyNumberFormat="1" applyFont="1" applyFill="1" applyBorder="1" applyAlignment="1">
      <alignment horizontal="center" vertical="center"/>
    </xf>
    <xf numFmtId="3" fontId="2" fillId="0" borderId="2" xfId="13" applyNumberFormat="1" applyFont="1" applyFill="1" applyBorder="1" applyAlignment="1">
      <alignment horizontal="center" vertical="center"/>
    </xf>
    <xf numFmtId="49" fontId="3" fillId="0" borderId="0" xfId="11" applyNumberFormat="1" applyFont="1" applyFill="1" applyBorder="1" applyAlignment="1">
      <alignment horizontal="left" vertical="center"/>
    </xf>
    <xf numFmtId="0" fontId="3" fillId="0" borderId="0" xfId="11" applyFont="1" applyFill="1" applyBorder="1" applyAlignment="1">
      <alignment horizontal="left" vertical="center"/>
    </xf>
    <xf numFmtId="0" fontId="3" fillId="0" borderId="0" xfId="11" applyFont="1" applyFill="1" applyAlignment="1">
      <alignment horizontal="left" vertical="center"/>
    </xf>
    <xf numFmtId="49" fontId="3" fillId="0" borderId="0" xfId="11" applyNumberFormat="1" applyFont="1" applyFill="1" applyAlignment="1">
      <alignment horizontal="left" vertical="center"/>
    </xf>
    <xf numFmtId="49" fontId="2" fillId="0" borderId="0" xfId="0" applyNumberFormat="1" applyFont="1" applyFill="1" applyAlignment="1">
      <alignment horizontal="left" vertical="center"/>
    </xf>
    <xf numFmtId="49" fontId="2" fillId="0" borderId="0" xfId="15" applyNumberFormat="1" applyFont="1" applyFill="1" applyAlignment="1">
      <alignment horizontal="left" vertical="center" wrapText="1"/>
    </xf>
    <xf numFmtId="49" fontId="2" fillId="0" borderId="0" xfId="15" applyNumberFormat="1" applyFont="1" applyFill="1" applyAlignment="1">
      <alignment horizontal="left" vertical="center"/>
    </xf>
    <xf numFmtId="49" fontId="2" fillId="0" borderId="0" xfId="0" applyNumberFormat="1" applyFont="1" applyFill="1" applyAlignment="1">
      <alignment horizontal="center" vertical="center"/>
    </xf>
    <xf numFmtId="49" fontId="2" fillId="0" borderId="2" xfId="0" applyNumberFormat="1" applyFont="1" applyFill="1" applyBorder="1" applyAlignment="1">
      <alignment horizontal="center" vertical="center"/>
    </xf>
    <xf numFmtId="49" fontId="2" fillId="0" borderId="8" xfId="0" applyNumberFormat="1" applyFont="1" applyFill="1" applyBorder="1" applyAlignment="1">
      <alignment horizontal="center" vertical="center"/>
    </xf>
    <xf numFmtId="49" fontId="2" fillId="0" borderId="0" xfId="15" applyNumberFormat="1" applyFont="1" applyFill="1" applyAlignment="1">
      <alignment horizontal="center" vertical="center"/>
    </xf>
    <xf numFmtId="49" fontId="2" fillId="0" borderId="2" xfId="15" applyNumberFormat="1" applyFont="1" applyFill="1" applyBorder="1" applyAlignment="1">
      <alignment horizontal="center" vertical="center"/>
    </xf>
    <xf numFmtId="49" fontId="2" fillId="0" borderId="1" xfId="0" applyNumberFormat="1" applyFont="1" applyFill="1" applyBorder="1" applyAlignment="1">
      <alignment horizontal="left" vertical="center"/>
    </xf>
    <xf numFmtId="49" fontId="2" fillId="0" borderId="2" xfId="0" applyNumberFormat="1" applyFont="1" applyFill="1" applyBorder="1" applyAlignment="1">
      <alignment vertical="center"/>
    </xf>
    <xf numFmtId="49" fontId="2" fillId="0" borderId="8" xfId="15" applyNumberFormat="1" applyFont="1" applyFill="1" applyBorder="1" applyAlignment="1">
      <alignment horizontal="center" vertical="center"/>
    </xf>
    <xf numFmtId="49" fontId="2" fillId="0" borderId="1" xfId="0" applyNumberFormat="1" applyFont="1" applyFill="1" applyBorder="1" applyAlignment="1">
      <alignment horizontal="center" vertical="center"/>
    </xf>
    <xf numFmtId="0" fontId="18" fillId="2" borderId="10" xfId="18" applyFont="1" applyFill="1" applyBorder="1" applyAlignment="1">
      <alignment horizontal="center"/>
    </xf>
    <xf numFmtId="0" fontId="18" fillId="2" borderId="11" xfId="18" applyFont="1" applyFill="1" applyBorder="1" applyAlignment="1">
      <alignment horizontal="center"/>
    </xf>
    <xf numFmtId="0" fontId="18" fillId="2" borderId="12" xfId="18" applyFont="1" applyFill="1" applyBorder="1" applyAlignment="1">
      <alignment horizontal="center"/>
    </xf>
    <xf numFmtId="0" fontId="14" fillId="0" borderId="0" xfId="19"/>
    <xf numFmtId="0" fontId="19" fillId="2" borderId="13" xfId="18" applyFont="1" applyFill="1" applyBorder="1" applyAlignment="1">
      <alignment horizontal="center"/>
    </xf>
    <xf numFmtId="0" fontId="19" fillId="2" borderId="0" xfId="18" applyFont="1" applyFill="1" applyAlignment="1">
      <alignment horizontal="center"/>
    </xf>
    <xf numFmtId="0" fontId="19" fillId="2" borderId="14" xfId="18" applyFont="1" applyFill="1" applyBorder="1" applyAlignment="1">
      <alignment horizontal="center"/>
    </xf>
    <xf numFmtId="0" fontId="20" fillId="2" borderId="13" xfId="19" applyFont="1" applyFill="1" applyBorder="1" applyAlignment="1">
      <alignment horizontal="center"/>
    </xf>
    <xf numFmtId="0" fontId="20" fillId="2" borderId="0" xfId="19" applyFont="1" applyFill="1" applyAlignment="1">
      <alignment horizontal="center"/>
    </xf>
    <xf numFmtId="0" fontId="20" fillId="2" borderId="14" xfId="19" applyFont="1" applyFill="1" applyBorder="1" applyAlignment="1">
      <alignment horizontal="center"/>
    </xf>
    <xf numFmtId="0" fontId="21" fillId="0" borderId="0" xfId="19" applyFont="1" applyAlignment="1">
      <alignment horizontal="left"/>
    </xf>
    <xf numFmtId="0" fontId="22" fillId="2" borderId="13" xfId="19" applyFont="1" applyFill="1" applyBorder="1" applyAlignment="1">
      <alignment horizontal="center" vertical="center" wrapText="1" readingOrder="1"/>
    </xf>
    <xf numFmtId="0" fontId="22" fillId="2" borderId="0" xfId="19" applyFont="1" applyFill="1" applyAlignment="1">
      <alignment horizontal="center" vertical="center" wrapText="1" readingOrder="1"/>
    </xf>
    <xf numFmtId="0" fontId="22" fillId="2" borderId="14" xfId="19" applyFont="1" applyFill="1" applyBorder="1" applyAlignment="1">
      <alignment horizontal="center" vertical="center" wrapText="1" readingOrder="1"/>
    </xf>
    <xf numFmtId="0" fontId="23" fillId="2" borderId="13" xfId="19" applyFont="1" applyFill="1" applyBorder="1" applyAlignment="1">
      <alignment horizontal="center" vertical="center" readingOrder="1"/>
    </xf>
    <xf numFmtId="0" fontId="23" fillId="2" borderId="0" xfId="19" applyFont="1" applyFill="1" applyAlignment="1">
      <alignment horizontal="center" vertical="center" readingOrder="1"/>
    </xf>
    <xf numFmtId="0" fontId="23" fillId="2" borderId="14" xfId="19" applyFont="1" applyFill="1" applyBorder="1" applyAlignment="1">
      <alignment horizontal="center" vertical="center" readingOrder="1"/>
    </xf>
    <xf numFmtId="0" fontId="22" fillId="2" borderId="15" xfId="19" applyFont="1" applyFill="1" applyBorder="1" applyAlignment="1">
      <alignment horizontal="centerContinuous" vertical="center" readingOrder="1"/>
    </xf>
    <xf numFmtId="0" fontId="14" fillId="2" borderId="4" xfId="19" applyFill="1" applyBorder="1" applyAlignment="1">
      <alignment horizontal="centerContinuous"/>
    </xf>
    <xf numFmtId="0" fontId="14" fillId="2" borderId="16" xfId="19" applyFill="1" applyBorder="1" applyAlignment="1">
      <alignment horizontal="centerContinuous"/>
    </xf>
  </cellXfs>
  <cellStyles count="20">
    <cellStyle name="Comma" xfId="10" builtinId="3"/>
    <cellStyle name="Comma 10 2" xfId="3" xr:uid="{5D89E6EC-FA2B-4552-8C27-67047C051949}"/>
    <cellStyle name="Comma 100" xfId="8" xr:uid="{84799C18-3100-49BB-AB7E-B76687085895}"/>
    <cellStyle name="Comma 2" xfId="4" xr:uid="{36C92B4A-E4D1-4BA3-A1F9-7D65891DC56B}"/>
    <cellStyle name="Comma 2 2" xfId="7" xr:uid="{723C9DC0-E3E3-4D27-9599-9A28FCFFE659}"/>
    <cellStyle name="Comma 2 2 2" xfId="17" xr:uid="{DCF376E3-36F5-4D8A-A63C-054D580E72B4}"/>
    <cellStyle name="Comma 2 3" xfId="16" xr:uid="{952FF8DA-21DB-41C3-A0D0-1896BE5A6FF9}"/>
    <cellStyle name="Comma 4" xfId="2" xr:uid="{59684EE9-0E5B-4EAC-88E5-6348B7A3F090}"/>
    <cellStyle name="Normal" xfId="0" builtinId="0"/>
    <cellStyle name="Normal 2" xfId="5" xr:uid="{2DE587E4-ACC6-494D-B887-1ABE8825E2AF}"/>
    <cellStyle name="Normal 3" xfId="18" xr:uid="{5D8B1EB6-8344-4B53-8531-124A8FA5AFE0}"/>
    <cellStyle name="Normal 4" xfId="6" xr:uid="{1BF251B5-1836-4EFE-A308-E7D6D62B962E}"/>
    <cellStyle name="Normal 4 2" xfId="19" xr:uid="{537A9777-6CF0-4667-A685-3F2695DCC6E8}"/>
    <cellStyle name="Normal 5" xfId="14" xr:uid="{1E21885B-CA26-4682-AB4B-A45B07F06D1A}"/>
    <cellStyle name="Normal 6" xfId="1" xr:uid="{588D7562-2FFB-4943-A40A-2C9A842805C0}"/>
    <cellStyle name="Normal 6 2 3" xfId="15" xr:uid="{EA08FFC0-CB25-430C-9E69-868B90BB3EC3}"/>
    <cellStyle name="Normal_2008 Summary Table 1 and 2_Europe and Central Eurasia" xfId="11" xr:uid="{918CBC9F-BE55-4E70-AEE5-0F18889A12D6}"/>
    <cellStyle name="Normal_2008 Summary Table 1 and 2_Europe and Central Eurasia 2" xfId="13" xr:uid="{EFBD0408-0C6C-481B-BC87-6A7298D05500}"/>
    <cellStyle name="Normal_Tables5_25" xfId="12" xr:uid="{466D9F39-5576-427A-BF99-AB499E9946AD}"/>
    <cellStyle name="Percent" xfId="9" builtinId="5"/>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5A60DBCC-2AA0-449A-8539-24C6BD655661}"/>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187D-93A3-4EA2-8015-6FB2BAD2DA34}">
  <sheetPr>
    <tabColor theme="0"/>
  </sheetPr>
  <dimension ref="A5:L16"/>
  <sheetViews>
    <sheetView showGridLines="0" tabSelected="1" workbookViewId="0">
      <selection activeCell="A8" sqref="A8:L8"/>
    </sheetView>
  </sheetViews>
  <sheetFormatPr defaultColWidth="8.42578125" defaultRowHeight="15" x14ac:dyDescent="0.25"/>
  <cols>
    <col min="1" max="16384" width="8.42578125" style="195"/>
  </cols>
  <sheetData>
    <row r="5" spans="1:12" ht="42.75" customHeight="1" x14ac:dyDescent="0.4">
      <c r="A5" s="192" t="s">
        <v>207</v>
      </c>
      <c r="B5" s="193"/>
      <c r="C5" s="193"/>
      <c r="D5" s="193"/>
      <c r="E5" s="193"/>
      <c r="F5" s="193"/>
      <c r="G5" s="193"/>
      <c r="H5" s="193"/>
      <c r="I5" s="193"/>
      <c r="J5" s="193"/>
      <c r="K5" s="193"/>
      <c r="L5" s="194"/>
    </row>
    <row r="6" spans="1:12" ht="48" customHeight="1" x14ac:dyDescent="0.6">
      <c r="A6" s="196" t="s">
        <v>208</v>
      </c>
      <c r="B6" s="197"/>
      <c r="C6" s="197"/>
      <c r="D6" s="197"/>
      <c r="E6" s="197"/>
      <c r="F6" s="197"/>
      <c r="G6" s="197"/>
      <c r="H6" s="197"/>
      <c r="I6" s="197"/>
      <c r="J6" s="197"/>
      <c r="K6" s="197"/>
      <c r="L6" s="198"/>
    </row>
    <row r="7" spans="1:12" s="202" customFormat="1" ht="23.25" x14ac:dyDescent="0.35">
      <c r="A7" s="199" t="s">
        <v>209</v>
      </c>
      <c r="B7" s="200"/>
      <c r="C7" s="200"/>
      <c r="D7" s="200"/>
      <c r="E7" s="200"/>
      <c r="F7" s="200"/>
      <c r="G7" s="200"/>
      <c r="H7" s="200"/>
      <c r="I7" s="200"/>
      <c r="J7" s="200"/>
      <c r="K7" s="200"/>
      <c r="L7" s="201"/>
    </row>
    <row r="8" spans="1:12" s="202" customFormat="1" ht="23.25" x14ac:dyDescent="0.35">
      <c r="A8" s="199" t="s">
        <v>210</v>
      </c>
      <c r="B8" s="200"/>
      <c r="C8" s="200"/>
      <c r="D8" s="200"/>
      <c r="E8" s="200"/>
      <c r="F8" s="200"/>
      <c r="G8" s="200"/>
      <c r="H8" s="200"/>
      <c r="I8" s="200"/>
      <c r="J8" s="200"/>
      <c r="K8" s="200"/>
      <c r="L8" s="201"/>
    </row>
    <row r="9" spans="1:12" s="202" customFormat="1" ht="23.25" x14ac:dyDescent="0.35">
      <c r="A9" s="199" t="s">
        <v>211</v>
      </c>
      <c r="B9" s="200"/>
      <c r="C9" s="200"/>
      <c r="D9" s="200"/>
      <c r="E9" s="200"/>
      <c r="F9" s="200"/>
      <c r="G9" s="200"/>
      <c r="H9" s="200"/>
      <c r="I9" s="200"/>
      <c r="J9" s="200"/>
      <c r="K9" s="200"/>
      <c r="L9" s="201"/>
    </row>
    <row r="10" spans="1:12" s="202" customFormat="1" ht="23.25" x14ac:dyDescent="0.35">
      <c r="A10" s="199" t="s">
        <v>212</v>
      </c>
      <c r="B10" s="200"/>
      <c r="C10" s="200"/>
      <c r="D10" s="200"/>
      <c r="E10" s="200"/>
      <c r="F10" s="200"/>
      <c r="G10" s="200"/>
      <c r="H10" s="200"/>
      <c r="I10" s="200"/>
      <c r="J10" s="200"/>
      <c r="K10" s="200"/>
      <c r="L10" s="201"/>
    </row>
    <row r="11" spans="1:12" s="202" customFormat="1" ht="23.25" x14ac:dyDescent="0.35">
      <c r="A11" s="199" t="s">
        <v>213</v>
      </c>
      <c r="B11" s="200"/>
      <c r="C11" s="200"/>
      <c r="D11" s="200"/>
      <c r="E11" s="200"/>
      <c r="F11" s="200"/>
      <c r="G11" s="200"/>
      <c r="H11" s="200"/>
      <c r="I11" s="200"/>
      <c r="J11" s="200"/>
      <c r="K11" s="200"/>
      <c r="L11" s="201"/>
    </row>
    <row r="12" spans="1:12" s="202" customFormat="1" ht="23.25" x14ac:dyDescent="0.35">
      <c r="A12" s="199" t="s">
        <v>214</v>
      </c>
      <c r="B12" s="200"/>
      <c r="C12" s="200"/>
      <c r="D12" s="200"/>
      <c r="E12" s="200"/>
      <c r="F12" s="200"/>
      <c r="G12" s="200"/>
      <c r="H12" s="200"/>
      <c r="I12" s="200"/>
      <c r="J12" s="200"/>
      <c r="K12" s="200"/>
      <c r="L12" s="201"/>
    </row>
    <row r="13" spans="1:12" s="202" customFormat="1" ht="23.25" x14ac:dyDescent="0.35">
      <c r="A13" s="199" t="s">
        <v>215</v>
      </c>
      <c r="B13" s="200"/>
      <c r="C13" s="200"/>
      <c r="D13" s="200"/>
      <c r="E13" s="200"/>
      <c r="F13" s="200"/>
      <c r="G13" s="200"/>
      <c r="H13" s="200"/>
      <c r="I13" s="200"/>
      <c r="J13" s="200"/>
      <c r="K13" s="200"/>
      <c r="L13" s="201"/>
    </row>
    <row r="14" spans="1:12" ht="23.45" customHeight="1" x14ac:dyDescent="0.25">
      <c r="A14" s="203"/>
      <c r="B14" s="204"/>
      <c r="C14" s="204"/>
      <c r="D14" s="204"/>
      <c r="E14" s="204"/>
      <c r="F14" s="204"/>
      <c r="G14" s="204"/>
      <c r="H14" s="204"/>
      <c r="I14" s="204"/>
      <c r="J14" s="204"/>
      <c r="K14" s="204"/>
      <c r="L14" s="205"/>
    </row>
    <row r="15" spans="1:12" ht="21" customHeight="1" x14ac:dyDescent="0.25">
      <c r="A15" s="206" t="s">
        <v>216</v>
      </c>
      <c r="B15" s="207"/>
      <c r="C15" s="207"/>
      <c r="D15" s="207"/>
      <c r="E15" s="207"/>
      <c r="F15" s="207"/>
      <c r="G15" s="207"/>
      <c r="H15" s="207"/>
      <c r="I15" s="207"/>
      <c r="J15" s="207"/>
      <c r="K15" s="207"/>
      <c r="L15" s="208"/>
    </row>
    <row r="16" spans="1:12" ht="23.25" x14ac:dyDescent="0.25">
      <c r="A16" s="209"/>
      <c r="B16" s="210"/>
      <c r="C16" s="210"/>
      <c r="D16" s="210"/>
      <c r="E16" s="210"/>
      <c r="F16" s="210"/>
      <c r="G16" s="210"/>
      <c r="H16" s="210"/>
      <c r="I16" s="210"/>
      <c r="J16" s="210"/>
      <c r="K16" s="210"/>
      <c r="L16" s="211"/>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38B6-2CB8-4D5D-8A26-E4F2AE67311E}">
  <dimension ref="A1:F63"/>
  <sheetViews>
    <sheetView zoomScaleNormal="100" workbookViewId="0">
      <selection activeCell="A2" sqref="A2:F2"/>
    </sheetView>
  </sheetViews>
  <sheetFormatPr defaultRowHeight="15" x14ac:dyDescent="0.25"/>
  <cols>
    <col min="1" max="1" width="31.28515625" style="119" customWidth="1"/>
    <col min="2" max="2" width="2" style="119" customWidth="1"/>
    <col min="3" max="3" width="17" style="119" customWidth="1"/>
    <col min="4" max="4" width="4.42578125" style="119" customWidth="1"/>
    <col min="5" max="5" width="17" style="119" customWidth="1"/>
    <col min="6" max="6" width="1.28515625" style="119" bestFit="1" customWidth="1"/>
    <col min="7" max="169" width="8.85546875" style="119"/>
    <col min="170" max="170" width="21.140625" style="119" customWidth="1"/>
    <col min="171" max="171" width="4" style="119" customWidth="1"/>
    <col min="172" max="172" width="17" style="119" customWidth="1"/>
    <col min="173" max="173" width="8.85546875" style="119"/>
    <col min="174" max="174" width="16" style="119" bestFit="1" customWidth="1"/>
    <col min="175" max="425" width="8.85546875" style="119"/>
    <col min="426" max="426" width="21.140625" style="119" customWidth="1"/>
    <col min="427" max="427" width="4" style="119" customWidth="1"/>
    <col min="428" max="428" width="17" style="119" customWidth="1"/>
    <col min="429" max="429" width="8.85546875" style="119"/>
    <col min="430" max="430" width="16" style="119" bestFit="1" customWidth="1"/>
    <col min="431" max="681" width="8.85546875" style="119"/>
    <col min="682" max="682" width="21.140625" style="119" customWidth="1"/>
    <col min="683" max="683" width="4" style="119" customWidth="1"/>
    <col min="684" max="684" width="17" style="119" customWidth="1"/>
    <col min="685" max="685" width="8.85546875" style="119"/>
    <col min="686" max="686" width="16" style="119" bestFit="1" customWidth="1"/>
    <col min="687" max="937" width="8.85546875" style="119"/>
    <col min="938" max="938" width="21.140625" style="119" customWidth="1"/>
    <col min="939" max="939" width="4" style="119" customWidth="1"/>
    <col min="940" max="940" width="17" style="119" customWidth="1"/>
    <col min="941" max="941" width="8.85546875" style="119"/>
    <col min="942" max="942" width="16" style="119" bestFit="1" customWidth="1"/>
    <col min="943" max="1193" width="8.85546875" style="119"/>
    <col min="1194" max="1194" width="21.140625" style="119" customWidth="1"/>
    <col min="1195" max="1195" width="4" style="119" customWidth="1"/>
    <col min="1196" max="1196" width="17" style="119" customWidth="1"/>
    <col min="1197" max="1197" width="8.85546875" style="119"/>
    <col min="1198" max="1198" width="16" style="119" bestFit="1" customWidth="1"/>
    <col min="1199" max="1449" width="8.85546875" style="119"/>
    <col min="1450" max="1450" width="21.140625" style="119" customWidth="1"/>
    <col min="1451" max="1451" width="4" style="119" customWidth="1"/>
    <col min="1452" max="1452" width="17" style="119" customWidth="1"/>
    <col min="1453" max="1453" width="8.85546875" style="119"/>
    <col min="1454" max="1454" width="16" style="119" bestFit="1" customWidth="1"/>
    <col min="1455" max="1705" width="8.85546875" style="119"/>
    <col min="1706" max="1706" width="21.140625" style="119" customWidth="1"/>
    <col min="1707" max="1707" width="4" style="119" customWidth="1"/>
    <col min="1708" max="1708" width="17" style="119" customWidth="1"/>
    <col min="1709" max="1709" width="8.85546875" style="119"/>
    <col min="1710" max="1710" width="16" style="119" bestFit="1" customWidth="1"/>
    <col min="1711" max="1961" width="8.85546875" style="119"/>
    <col min="1962" max="1962" width="21.140625" style="119" customWidth="1"/>
    <col min="1963" max="1963" width="4" style="119" customWidth="1"/>
    <col min="1964" max="1964" width="17" style="119" customWidth="1"/>
    <col min="1965" max="1965" width="8.85546875" style="119"/>
    <col min="1966" max="1966" width="16" style="119" bestFit="1" customWidth="1"/>
    <col min="1967" max="2217" width="8.85546875" style="119"/>
    <col min="2218" max="2218" width="21.140625" style="119" customWidth="1"/>
    <col min="2219" max="2219" width="4" style="119" customWidth="1"/>
    <col min="2220" max="2220" width="17" style="119" customWidth="1"/>
    <col min="2221" max="2221" width="8.85546875" style="119"/>
    <col min="2222" max="2222" width="16" style="119" bestFit="1" customWidth="1"/>
    <col min="2223" max="2473" width="8.85546875" style="119"/>
    <col min="2474" max="2474" width="21.140625" style="119" customWidth="1"/>
    <col min="2475" max="2475" width="4" style="119" customWidth="1"/>
    <col min="2476" max="2476" width="17" style="119" customWidth="1"/>
    <col min="2477" max="2477" width="8.85546875" style="119"/>
    <col min="2478" max="2478" width="16" style="119" bestFit="1" customWidth="1"/>
    <col min="2479" max="2729" width="8.85546875" style="119"/>
    <col min="2730" max="2730" width="21.140625" style="119" customWidth="1"/>
    <col min="2731" max="2731" width="4" style="119" customWidth="1"/>
    <col min="2732" max="2732" width="17" style="119" customWidth="1"/>
    <col min="2733" max="2733" width="8.85546875" style="119"/>
    <col min="2734" max="2734" width="16" style="119" bestFit="1" customWidth="1"/>
    <col min="2735" max="2985" width="8.85546875" style="119"/>
    <col min="2986" max="2986" width="21.140625" style="119" customWidth="1"/>
    <col min="2987" max="2987" width="4" style="119" customWidth="1"/>
    <col min="2988" max="2988" width="17" style="119" customWidth="1"/>
    <col min="2989" max="2989" width="8.85546875" style="119"/>
    <col min="2990" max="2990" width="16" style="119" bestFit="1" customWidth="1"/>
    <col min="2991" max="3241" width="8.85546875" style="119"/>
    <col min="3242" max="3242" width="21.140625" style="119" customWidth="1"/>
    <col min="3243" max="3243" width="4" style="119" customWidth="1"/>
    <col min="3244" max="3244" width="17" style="119" customWidth="1"/>
    <col min="3245" max="3245" width="8.85546875" style="119"/>
    <col min="3246" max="3246" width="16" style="119" bestFit="1" customWidth="1"/>
    <col min="3247" max="3497" width="8.85546875" style="119"/>
    <col min="3498" max="3498" width="21.140625" style="119" customWidth="1"/>
    <col min="3499" max="3499" width="4" style="119" customWidth="1"/>
    <col min="3500" max="3500" width="17" style="119" customWidth="1"/>
    <col min="3501" max="3501" width="8.85546875" style="119"/>
    <col min="3502" max="3502" width="16" style="119" bestFit="1" customWidth="1"/>
    <col min="3503" max="3753" width="8.85546875" style="119"/>
    <col min="3754" max="3754" width="21.140625" style="119" customWidth="1"/>
    <col min="3755" max="3755" width="4" style="119" customWidth="1"/>
    <col min="3756" max="3756" width="17" style="119" customWidth="1"/>
    <col min="3757" max="3757" width="8.85546875" style="119"/>
    <col min="3758" max="3758" width="16" style="119" bestFit="1" customWidth="1"/>
    <col min="3759" max="4009" width="8.85546875" style="119"/>
    <col min="4010" max="4010" width="21.140625" style="119" customWidth="1"/>
    <col min="4011" max="4011" width="4" style="119" customWidth="1"/>
    <col min="4012" max="4012" width="17" style="119" customWidth="1"/>
    <col min="4013" max="4013" width="8.85546875" style="119"/>
    <col min="4014" max="4014" width="16" style="119" bestFit="1" customWidth="1"/>
    <col min="4015" max="4265" width="8.85546875" style="119"/>
    <col min="4266" max="4266" width="21.140625" style="119" customWidth="1"/>
    <col min="4267" max="4267" width="4" style="119" customWidth="1"/>
    <col min="4268" max="4268" width="17" style="119" customWidth="1"/>
    <col min="4269" max="4269" width="8.85546875" style="119"/>
    <col min="4270" max="4270" width="16" style="119" bestFit="1" customWidth="1"/>
    <col min="4271" max="4521" width="8.85546875" style="119"/>
    <col min="4522" max="4522" width="21.140625" style="119" customWidth="1"/>
    <col min="4523" max="4523" width="4" style="119" customWidth="1"/>
    <col min="4524" max="4524" width="17" style="119" customWidth="1"/>
    <col min="4525" max="4525" width="8.85546875" style="119"/>
    <col min="4526" max="4526" width="16" style="119" bestFit="1" customWidth="1"/>
    <col min="4527" max="4777" width="8.85546875" style="119"/>
    <col min="4778" max="4778" width="21.140625" style="119" customWidth="1"/>
    <col min="4779" max="4779" width="4" style="119" customWidth="1"/>
    <col min="4780" max="4780" width="17" style="119" customWidth="1"/>
    <col min="4781" max="4781" width="8.85546875" style="119"/>
    <col min="4782" max="4782" width="16" style="119" bestFit="1" customWidth="1"/>
    <col min="4783" max="5033" width="8.85546875" style="119"/>
    <col min="5034" max="5034" width="21.140625" style="119" customWidth="1"/>
    <col min="5035" max="5035" width="4" style="119" customWidth="1"/>
    <col min="5036" max="5036" width="17" style="119" customWidth="1"/>
    <col min="5037" max="5037" width="8.85546875" style="119"/>
    <col min="5038" max="5038" width="16" style="119" bestFit="1" customWidth="1"/>
    <col min="5039" max="5289" width="8.85546875" style="119"/>
    <col min="5290" max="5290" width="21.140625" style="119" customWidth="1"/>
    <col min="5291" max="5291" width="4" style="119" customWidth="1"/>
    <col min="5292" max="5292" width="17" style="119" customWidth="1"/>
    <col min="5293" max="5293" width="8.85546875" style="119"/>
    <col min="5294" max="5294" width="16" style="119" bestFit="1" customWidth="1"/>
    <col min="5295" max="5545" width="8.85546875" style="119"/>
    <col min="5546" max="5546" width="21.140625" style="119" customWidth="1"/>
    <col min="5547" max="5547" width="4" style="119" customWidth="1"/>
    <col min="5548" max="5548" width="17" style="119" customWidth="1"/>
    <col min="5549" max="5549" width="8.85546875" style="119"/>
    <col min="5550" max="5550" width="16" style="119" bestFit="1" customWidth="1"/>
    <col min="5551" max="5801" width="8.85546875" style="119"/>
    <col min="5802" max="5802" width="21.140625" style="119" customWidth="1"/>
    <col min="5803" max="5803" width="4" style="119" customWidth="1"/>
    <col min="5804" max="5804" width="17" style="119" customWidth="1"/>
    <col min="5805" max="5805" width="8.85546875" style="119"/>
    <col min="5806" max="5806" width="16" style="119" bestFit="1" customWidth="1"/>
    <col min="5807" max="6057" width="8.85546875" style="119"/>
    <col min="6058" max="6058" width="21.140625" style="119" customWidth="1"/>
    <col min="6059" max="6059" width="4" style="119" customWidth="1"/>
    <col min="6060" max="6060" width="17" style="119" customWidth="1"/>
    <col min="6061" max="6061" width="8.85546875" style="119"/>
    <col min="6062" max="6062" width="16" style="119" bestFit="1" customWidth="1"/>
    <col min="6063" max="6313" width="8.85546875" style="119"/>
    <col min="6314" max="6314" width="21.140625" style="119" customWidth="1"/>
    <col min="6315" max="6315" width="4" style="119" customWidth="1"/>
    <col min="6316" max="6316" width="17" style="119" customWidth="1"/>
    <col min="6317" max="6317" width="8.85546875" style="119"/>
    <col min="6318" max="6318" width="16" style="119" bestFit="1" customWidth="1"/>
    <col min="6319" max="6569" width="8.85546875" style="119"/>
    <col min="6570" max="6570" width="21.140625" style="119" customWidth="1"/>
    <col min="6571" max="6571" width="4" style="119" customWidth="1"/>
    <col min="6572" max="6572" width="17" style="119" customWidth="1"/>
    <col min="6573" max="6573" width="8.85546875" style="119"/>
    <col min="6574" max="6574" width="16" style="119" bestFit="1" customWidth="1"/>
    <col min="6575" max="6825" width="8.85546875" style="119"/>
    <col min="6826" max="6826" width="21.140625" style="119" customWidth="1"/>
    <col min="6827" max="6827" width="4" style="119" customWidth="1"/>
    <col min="6828" max="6828" width="17" style="119" customWidth="1"/>
    <col min="6829" max="6829" width="8.85546875" style="119"/>
    <col min="6830" max="6830" width="16" style="119" bestFit="1" customWidth="1"/>
    <col min="6831" max="7081" width="8.85546875" style="119"/>
    <col min="7082" max="7082" width="21.140625" style="119" customWidth="1"/>
    <col min="7083" max="7083" width="4" style="119" customWidth="1"/>
    <col min="7084" max="7084" width="17" style="119" customWidth="1"/>
    <col min="7085" max="7085" width="8.85546875" style="119"/>
    <col min="7086" max="7086" width="16" style="119" bestFit="1" customWidth="1"/>
    <col min="7087" max="7337" width="8.85546875" style="119"/>
    <col min="7338" max="7338" width="21.140625" style="119" customWidth="1"/>
    <col min="7339" max="7339" width="4" style="119" customWidth="1"/>
    <col min="7340" max="7340" width="17" style="119" customWidth="1"/>
    <col min="7341" max="7341" width="8.85546875" style="119"/>
    <col min="7342" max="7342" width="16" style="119" bestFit="1" customWidth="1"/>
    <col min="7343" max="7593" width="8.85546875" style="119"/>
    <col min="7594" max="7594" width="21.140625" style="119" customWidth="1"/>
    <col min="7595" max="7595" width="4" style="119" customWidth="1"/>
    <col min="7596" max="7596" width="17" style="119" customWidth="1"/>
    <col min="7597" max="7597" width="8.85546875" style="119"/>
    <col min="7598" max="7598" width="16" style="119" bestFit="1" customWidth="1"/>
    <col min="7599" max="7849" width="8.85546875" style="119"/>
    <col min="7850" max="7850" width="21.140625" style="119" customWidth="1"/>
    <col min="7851" max="7851" width="4" style="119" customWidth="1"/>
    <col min="7852" max="7852" width="17" style="119" customWidth="1"/>
    <col min="7853" max="7853" width="8.85546875" style="119"/>
    <col min="7854" max="7854" width="16" style="119" bestFit="1" customWidth="1"/>
    <col min="7855" max="8105" width="8.85546875" style="119"/>
    <col min="8106" max="8106" width="21.140625" style="119" customWidth="1"/>
    <col min="8107" max="8107" width="4" style="119" customWidth="1"/>
    <col min="8108" max="8108" width="17" style="119" customWidth="1"/>
    <col min="8109" max="8109" width="8.85546875" style="119"/>
    <col min="8110" max="8110" width="16" style="119" bestFit="1" customWidth="1"/>
    <col min="8111" max="8361" width="8.85546875" style="119"/>
    <col min="8362" max="8362" width="21.140625" style="119" customWidth="1"/>
    <col min="8363" max="8363" width="4" style="119" customWidth="1"/>
    <col min="8364" max="8364" width="17" style="119" customWidth="1"/>
    <col min="8365" max="8365" width="8.85546875" style="119"/>
    <col min="8366" max="8366" width="16" style="119" bestFit="1" customWidth="1"/>
    <col min="8367" max="8617" width="8.85546875" style="119"/>
    <col min="8618" max="8618" width="21.140625" style="119" customWidth="1"/>
    <col min="8619" max="8619" width="4" style="119" customWidth="1"/>
    <col min="8620" max="8620" width="17" style="119" customWidth="1"/>
    <col min="8621" max="8621" width="8.85546875" style="119"/>
    <col min="8622" max="8622" width="16" style="119" bestFit="1" customWidth="1"/>
    <col min="8623" max="8873" width="8.85546875" style="119"/>
    <col min="8874" max="8874" width="21.140625" style="119" customWidth="1"/>
    <col min="8875" max="8875" width="4" style="119" customWidth="1"/>
    <col min="8876" max="8876" width="17" style="119" customWidth="1"/>
    <col min="8877" max="8877" width="8.85546875" style="119"/>
    <col min="8878" max="8878" width="16" style="119" bestFit="1" customWidth="1"/>
    <col min="8879" max="9129" width="8.85546875" style="119"/>
    <col min="9130" max="9130" width="21.140625" style="119" customWidth="1"/>
    <col min="9131" max="9131" width="4" style="119" customWidth="1"/>
    <col min="9132" max="9132" width="17" style="119" customWidth="1"/>
    <col min="9133" max="9133" width="8.85546875" style="119"/>
    <col min="9134" max="9134" width="16" style="119" bestFit="1" customWidth="1"/>
    <col min="9135" max="9385" width="8.85546875" style="119"/>
    <col min="9386" max="9386" width="21.140625" style="119" customWidth="1"/>
    <col min="9387" max="9387" width="4" style="119" customWidth="1"/>
    <col min="9388" max="9388" width="17" style="119" customWidth="1"/>
    <col min="9389" max="9389" width="8.85546875" style="119"/>
    <col min="9390" max="9390" width="16" style="119" bestFit="1" customWidth="1"/>
    <col min="9391" max="9641" width="8.85546875" style="119"/>
    <col min="9642" max="9642" width="21.140625" style="119" customWidth="1"/>
    <col min="9643" max="9643" width="4" style="119" customWidth="1"/>
    <col min="9644" max="9644" width="17" style="119" customWidth="1"/>
    <col min="9645" max="9645" width="8.85546875" style="119"/>
    <col min="9646" max="9646" width="16" style="119" bestFit="1" customWidth="1"/>
    <col min="9647" max="9897" width="8.85546875" style="119"/>
    <col min="9898" max="9898" width="21.140625" style="119" customWidth="1"/>
    <col min="9899" max="9899" width="4" style="119" customWidth="1"/>
    <col min="9900" max="9900" width="17" style="119" customWidth="1"/>
    <col min="9901" max="9901" width="8.85546875" style="119"/>
    <col min="9902" max="9902" width="16" style="119" bestFit="1" customWidth="1"/>
    <col min="9903" max="10153" width="8.85546875" style="119"/>
    <col min="10154" max="10154" width="21.140625" style="119" customWidth="1"/>
    <col min="10155" max="10155" width="4" style="119" customWidth="1"/>
    <col min="10156" max="10156" width="17" style="119" customWidth="1"/>
    <col min="10157" max="10157" width="8.85546875" style="119"/>
    <col min="10158" max="10158" width="16" style="119" bestFit="1" customWidth="1"/>
    <col min="10159" max="10409" width="8.85546875" style="119"/>
    <col min="10410" max="10410" width="21.140625" style="119" customWidth="1"/>
    <col min="10411" max="10411" width="4" style="119" customWidth="1"/>
    <col min="10412" max="10412" width="17" style="119" customWidth="1"/>
    <col min="10413" max="10413" width="8.85546875" style="119"/>
    <col min="10414" max="10414" width="16" style="119" bestFit="1" customWidth="1"/>
    <col min="10415" max="10665" width="8.85546875" style="119"/>
    <col min="10666" max="10666" width="21.140625" style="119" customWidth="1"/>
    <col min="10667" max="10667" width="4" style="119" customWidth="1"/>
    <col min="10668" max="10668" width="17" style="119" customWidth="1"/>
    <col min="10669" max="10669" width="8.85546875" style="119"/>
    <col min="10670" max="10670" width="16" style="119" bestFit="1" customWidth="1"/>
    <col min="10671" max="10921" width="8.85546875" style="119"/>
    <col min="10922" max="10922" width="21.140625" style="119" customWidth="1"/>
    <col min="10923" max="10923" width="4" style="119" customWidth="1"/>
    <col min="10924" max="10924" width="17" style="119" customWidth="1"/>
    <col min="10925" max="10925" width="8.85546875" style="119"/>
    <col min="10926" max="10926" width="16" style="119" bestFit="1" customWidth="1"/>
    <col min="10927" max="11177" width="8.85546875" style="119"/>
    <col min="11178" max="11178" width="21.140625" style="119" customWidth="1"/>
    <col min="11179" max="11179" width="4" style="119" customWidth="1"/>
    <col min="11180" max="11180" width="17" style="119" customWidth="1"/>
    <col min="11181" max="11181" width="8.85546875" style="119"/>
    <col min="11182" max="11182" width="16" style="119" bestFit="1" customWidth="1"/>
    <col min="11183" max="11433" width="8.85546875" style="119"/>
    <col min="11434" max="11434" width="21.140625" style="119" customWidth="1"/>
    <col min="11435" max="11435" width="4" style="119" customWidth="1"/>
    <col min="11436" max="11436" width="17" style="119" customWidth="1"/>
    <col min="11437" max="11437" width="8.85546875" style="119"/>
    <col min="11438" max="11438" width="16" style="119" bestFit="1" customWidth="1"/>
    <col min="11439" max="11689" width="8.85546875" style="119"/>
    <col min="11690" max="11690" width="21.140625" style="119" customWidth="1"/>
    <col min="11691" max="11691" width="4" style="119" customWidth="1"/>
    <col min="11692" max="11692" width="17" style="119" customWidth="1"/>
    <col min="11693" max="11693" width="8.85546875" style="119"/>
    <col min="11694" max="11694" width="16" style="119" bestFit="1" customWidth="1"/>
    <col min="11695" max="11945" width="8.85546875" style="119"/>
    <col min="11946" max="11946" width="21.140625" style="119" customWidth="1"/>
    <col min="11947" max="11947" width="4" style="119" customWidth="1"/>
    <col min="11948" max="11948" width="17" style="119" customWidth="1"/>
    <col min="11949" max="11949" width="8.85546875" style="119"/>
    <col min="11950" max="11950" width="16" style="119" bestFit="1" customWidth="1"/>
    <col min="11951" max="12201" width="8.85546875" style="119"/>
    <col min="12202" max="12202" width="21.140625" style="119" customWidth="1"/>
    <col min="12203" max="12203" width="4" style="119" customWidth="1"/>
    <col min="12204" max="12204" width="17" style="119" customWidth="1"/>
    <col min="12205" max="12205" width="8.85546875" style="119"/>
    <col min="12206" max="12206" width="16" style="119" bestFit="1" customWidth="1"/>
    <col min="12207" max="12457" width="8.85546875" style="119"/>
    <col min="12458" max="12458" width="21.140625" style="119" customWidth="1"/>
    <col min="12459" max="12459" width="4" style="119" customWidth="1"/>
    <col min="12460" max="12460" width="17" style="119" customWidth="1"/>
    <col min="12461" max="12461" width="8.85546875" style="119"/>
    <col min="12462" max="12462" width="16" style="119" bestFit="1" customWidth="1"/>
    <col min="12463" max="12713" width="8.85546875" style="119"/>
    <col min="12714" max="12714" width="21.140625" style="119" customWidth="1"/>
    <col min="12715" max="12715" width="4" style="119" customWidth="1"/>
    <col min="12716" max="12716" width="17" style="119" customWidth="1"/>
    <col min="12717" max="12717" width="8.85546875" style="119"/>
    <col min="12718" max="12718" width="16" style="119" bestFit="1" customWidth="1"/>
    <col min="12719" max="12969" width="8.85546875" style="119"/>
    <col min="12970" max="12970" width="21.140625" style="119" customWidth="1"/>
    <col min="12971" max="12971" width="4" style="119" customWidth="1"/>
    <col min="12972" max="12972" width="17" style="119" customWidth="1"/>
    <col min="12973" max="12973" width="8.85546875" style="119"/>
    <col min="12974" max="12974" width="16" style="119" bestFit="1" customWidth="1"/>
    <col min="12975" max="13225" width="8.85546875" style="119"/>
    <col min="13226" max="13226" width="21.140625" style="119" customWidth="1"/>
    <col min="13227" max="13227" width="4" style="119" customWidth="1"/>
    <col min="13228" max="13228" width="17" style="119" customWidth="1"/>
    <col min="13229" max="13229" width="8.85546875" style="119"/>
    <col min="13230" max="13230" width="16" style="119" bestFit="1" customWidth="1"/>
    <col min="13231" max="13481" width="8.85546875" style="119"/>
    <col min="13482" max="13482" width="21.140625" style="119" customWidth="1"/>
    <col min="13483" max="13483" width="4" style="119" customWidth="1"/>
    <col min="13484" max="13484" width="17" style="119" customWidth="1"/>
    <col min="13485" max="13485" width="8.85546875" style="119"/>
    <col min="13486" max="13486" width="16" style="119" bestFit="1" customWidth="1"/>
    <col min="13487" max="13737" width="8.85546875" style="119"/>
    <col min="13738" max="13738" width="21.140625" style="119" customWidth="1"/>
    <col min="13739" max="13739" width="4" style="119" customWidth="1"/>
    <col min="13740" max="13740" width="17" style="119" customWidth="1"/>
    <col min="13741" max="13741" width="8.85546875" style="119"/>
    <col min="13742" max="13742" width="16" style="119" bestFit="1" customWidth="1"/>
    <col min="13743" max="13993" width="8.85546875" style="119"/>
    <col min="13994" max="13994" width="21.140625" style="119" customWidth="1"/>
    <col min="13995" max="13995" width="4" style="119" customWidth="1"/>
    <col min="13996" max="13996" width="17" style="119" customWidth="1"/>
    <col min="13997" max="13997" width="8.85546875" style="119"/>
    <col min="13998" max="13998" width="16" style="119" bestFit="1" customWidth="1"/>
    <col min="13999" max="14249" width="8.85546875" style="119"/>
    <col min="14250" max="14250" width="21.140625" style="119" customWidth="1"/>
    <col min="14251" max="14251" width="4" style="119" customWidth="1"/>
    <col min="14252" max="14252" width="17" style="119" customWidth="1"/>
    <col min="14253" max="14253" width="8.85546875" style="119"/>
    <col min="14254" max="14254" width="16" style="119" bestFit="1" customWidth="1"/>
    <col min="14255" max="14505" width="8.85546875" style="119"/>
    <col min="14506" max="14506" width="21.140625" style="119" customWidth="1"/>
    <col min="14507" max="14507" width="4" style="119" customWidth="1"/>
    <col min="14508" max="14508" width="17" style="119" customWidth="1"/>
    <col min="14509" max="14509" width="8.85546875" style="119"/>
    <col min="14510" max="14510" width="16" style="119" bestFit="1" customWidth="1"/>
    <col min="14511" max="14761" width="8.85546875" style="119"/>
    <col min="14762" max="14762" width="21.140625" style="119" customWidth="1"/>
    <col min="14763" max="14763" width="4" style="119" customWidth="1"/>
    <col min="14764" max="14764" width="17" style="119" customWidth="1"/>
    <col min="14765" max="14765" width="8.85546875" style="119"/>
    <col min="14766" max="14766" width="16" style="119" bestFit="1" customWidth="1"/>
    <col min="14767" max="15017" width="8.85546875" style="119"/>
    <col min="15018" max="15018" width="21.140625" style="119" customWidth="1"/>
    <col min="15019" max="15019" width="4" style="119" customWidth="1"/>
    <col min="15020" max="15020" width="17" style="119" customWidth="1"/>
    <col min="15021" max="15021" width="8.85546875" style="119"/>
    <col min="15022" max="15022" width="16" style="119" bestFit="1" customWidth="1"/>
    <col min="15023" max="15273" width="8.85546875" style="119"/>
    <col min="15274" max="15274" width="21.140625" style="119" customWidth="1"/>
    <col min="15275" max="15275" width="4" style="119" customWidth="1"/>
    <col min="15276" max="15276" width="17" style="119" customWidth="1"/>
    <col min="15277" max="15277" width="8.85546875" style="119"/>
    <col min="15278" max="15278" width="16" style="119" bestFit="1" customWidth="1"/>
    <col min="15279" max="15529" width="8.85546875" style="119"/>
    <col min="15530" max="15530" width="21.140625" style="119" customWidth="1"/>
    <col min="15531" max="15531" width="4" style="119" customWidth="1"/>
    <col min="15532" max="15532" width="17" style="119" customWidth="1"/>
    <col min="15533" max="15533" width="8.85546875" style="119"/>
    <col min="15534" max="15534" width="16" style="119" bestFit="1" customWidth="1"/>
    <col min="15535" max="15785" width="8.85546875" style="119"/>
    <col min="15786" max="15786" width="21.140625" style="119" customWidth="1"/>
    <col min="15787" max="15787" width="4" style="119" customWidth="1"/>
    <col min="15788" max="15788" width="17" style="119" customWidth="1"/>
    <col min="15789" max="15789" width="8.85546875" style="119"/>
    <col min="15790" max="15790" width="16" style="119" bestFit="1" customWidth="1"/>
    <col min="15791" max="16041" width="8.85546875" style="119"/>
    <col min="16042" max="16042" width="21.140625" style="119" customWidth="1"/>
    <col min="16043" max="16043" width="4" style="119" customWidth="1"/>
    <col min="16044" max="16044" width="17" style="119" customWidth="1"/>
    <col min="16045" max="16045" width="8.85546875" style="119"/>
    <col min="16046" max="16046" width="16" style="119" bestFit="1" customWidth="1"/>
    <col min="16047" max="16384" width="8.85546875" style="119"/>
  </cols>
  <sheetData>
    <row r="1" spans="1:6" s="94" customFormat="1" ht="11.25" customHeight="1" x14ac:dyDescent="0.25">
      <c r="A1" s="163" t="s">
        <v>167</v>
      </c>
      <c r="B1" s="164"/>
      <c r="C1" s="164"/>
      <c r="D1" s="164"/>
      <c r="E1" s="164"/>
      <c r="F1" s="164"/>
    </row>
    <row r="2" spans="1:6" s="94" customFormat="1" ht="11.25" customHeight="1" x14ac:dyDescent="0.25">
      <c r="A2" s="163" t="s">
        <v>168</v>
      </c>
      <c r="B2" s="164"/>
      <c r="C2" s="164"/>
      <c r="D2" s="164"/>
      <c r="E2" s="164"/>
      <c r="F2" s="164"/>
    </row>
    <row r="3" spans="1:6" s="94" customFormat="1" ht="11.25" customHeight="1" x14ac:dyDescent="0.25">
      <c r="A3" s="165"/>
      <c r="B3" s="165"/>
      <c r="C3" s="165"/>
      <c r="D3" s="165"/>
      <c r="E3" s="165"/>
      <c r="F3" s="165"/>
    </row>
    <row r="4" spans="1:6" s="94" customFormat="1" ht="12.4" customHeight="1" x14ac:dyDescent="0.25">
      <c r="A4" s="96"/>
      <c r="B4" s="96"/>
      <c r="C4" s="137" t="s">
        <v>169</v>
      </c>
      <c r="D4" s="96"/>
      <c r="E4" s="137" t="s">
        <v>170</v>
      </c>
      <c r="F4" s="147"/>
    </row>
    <row r="5" spans="1:6" s="94" customFormat="1" ht="11.25" customHeight="1" x14ac:dyDescent="0.25">
      <c r="A5" s="138" t="s">
        <v>171</v>
      </c>
      <c r="B5" s="99"/>
      <c r="C5" s="139" t="s">
        <v>172</v>
      </c>
      <c r="D5" s="99"/>
      <c r="E5" s="139" t="s">
        <v>173</v>
      </c>
      <c r="F5" s="148"/>
    </row>
    <row r="6" spans="1:6" s="94" customFormat="1" ht="11.25" customHeight="1" x14ac:dyDescent="0.25">
      <c r="A6" s="149" t="s">
        <v>20</v>
      </c>
      <c r="B6" s="96"/>
      <c r="C6" s="121">
        <v>28748</v>
      </c>
      <c r="D6" s="122"/>
      <c r="E6" s="8">
        <v>2812</v>
      </c>
      <c r="F6" s="142"/>
    </row>
    <row r="7" spans="1:6" s="94" customFormat="1" ht="11.25" customHeight="1" x14ac:dyDescent="0.25">
      <c r="A7" s="149" t="s">
        <v>22</v>
      </c>
      <c r="B7" s="96"/>
      <c r="C7" s="121">
        <v>29743</v>
      </c>
      <c r="D7" s="122"/>
      <c r="E7" s="150">
        <v>2791</v>
      </c>
      <c r="F7" s="142"/>
    </row>
    <row r="8" spans="1:6" s="94" customFormat="1" ht="11.25" customHeight="1" x14ac:dyDescent="0.25">
      <c r="A8" s="149" t="s">
        <v>24</v>
      </c>
      <c r="B8" s="96"/>
      <c r="C8" s="121">
        <v>83871</v>
      </c>
      <c r="D8" s="122"/>
      <c r="E8" s="150">
        <v>8956</v>
      </c>
      <c r="F8" s="142"/>
    </row>
    <row r="9" spans="1:6" s="94" customFormat="1" ht="11.25" customHeight="1" x14ac:dyDescent="0.25">
      <c r="A9" s="149" t="s">
        <v>25</v>
      </c>
      <c r="B9" s="96"/>
      <c r="C9" s="121">
        <v>86600</v>
      </c>
      <c r="D9" s="122"/>
      <c r="E9" s="150">
        <v>10138</v>
      </c>
      <c r="F9" s="142"/>
    </row>
    <row r="10" spans="1:6" s="94" customFormat="1" ht="11.25" customHeight="1" x14ac:dyDescent="0.25">
      <c r="A10" s="149" t="s">
        <v>26</v>
      </c>
      <c r="B10" s="96"/>
      <c r="C10" s="121">
        <v>207600</v>
      </c>
      <c r="D10" s="122"/>
      <c r="E10" s="150">
        <v>9340</v>
      </c>
      <c r="F10" s="142"/>
    </row>
    <row r="11" spans="1:6" s="94" customFormat="1" ht="11.25" customHeight="1" x14ac:dyDescent="0.25">
      <c r="A11" s="149" t="s">
        <v>27</v>
      </c>
      <c r="B11" s="96"/>
      <c r="C11" s="121">
        <v>30528</v>
      </c>
      <c r="D11" s="122"/>
      <c r="E11" s="150">
        <v>11593</v>
      </c>
      <c r="F11" s="142"/>
    </row>
    <row r="12" spans="1:6" s="94" customFormat="1" ht="11.25" customHeight="1" x14ac:dyDescent="0.25">
      <c r="A12" s="149" t="s">
        <v>28</v>
      </c>
      <c r="B12" s="96"/>
      <c r="C12" s="121">
        <v>51197</v>
      </c>
      <c r="D12" s="122"/>
      <c r="E12" s="150">
        <v>3271</v>
      </c>
      <c r="F12" s="142"/>
    </row>
    <row r="13" spans="1:6" s="94" customFormat="1" ht="11.25" customHeight="1" x14ac:dyDescent="0.25">
      <c r="A13" s="149" t="s">
        <v>29</v>
      </c>
      <c r="B13" s="96"/>
      <c r="C13" s="121">
        <v>110879</v>
      </c>
      <c r="D13" s="122"/>
      <c r="E13" s="150">
        <v>6878</v>
      </c>
      <c r="F13" s="142"/>
    </row>
    <row r="14" spans="1:6" s="94" customFormat="1" ht="11.25" customHeight="1" x14ac:dyDescent="0.25">
      <c r="A14" s="149" t="s">
        <v>30</v>
      </c>
      <c r="B14" s="96"/>
      <c r="C14" s="121">
        <v>56594</v>
      </c>
      <c r="D14" s="122"/>
      <c r="E14" s="150">
        <v>3899</v>
      </c>
      <c r="F14" s="142"/>
    </row>
    <row r="15" spans="1:6" s="94" customFormat="1" ht="11.25" customHeight="1" x14ac:dyDescent="0.25">
      <c r="A15" s="149" t="s">
        <v>31</v>
      </c>
      <c r="B15" s="96"/>
      <c r="C15" s="121">
        <v>9251</v>
      </c>
      <c r="D15" s="122"/>
      <c r="E15" s="150">
        <v>1244</v>
      </c>
      <c r="F15" s="142"/>
    </row>
    <row r="16" spans="1:6" s="94" customFormat="1" ht="11.25" customHeight="1" x14ac:dyDescent="0.25">
      <c r="A16" s="149" t="s">
        <v>32</v>
      </c>
      <c r="B16" s="96"/>
      <c r="C16" s="121">
        <v>78867</v>
      </c>
      <c r="D16" s="122"/>
      <c r="E16" s="150">
        <v>10506</v>
      </c>
      <c r="F16" s="142"/>
    </row>
    <row r="17" spans="1:6" s="94" customFormat="1" ht="11.25" customHeight="1" x14ac:dyDescent="0.25">
      <c r="A17" s="149" t="s">
        <v>206</v>
      </c>
      <c r="B17" s="96"/>
      <c r="C17" s="121">
        <v>2210573</v>
      </c>
      <c r="D17" s="122"/>
      <c r="E17" s="9">
        <v>5967</v>
      </c>
      <c r="F17" s="142"/>
    </row>
    <row r="18" spans="1:6" s="94" customFormat="1" ht="11.25" customHeight="1" x14ac:dyDescent="0.25">
      <c r="A18" s="149" t="s">
        <v>34</v>
      </c>
      <c r="B18" s="96"/>
      <c r="C18" s="121">
        <v>45228</v>
      </c>
      <c r="D18" s="122"/>
      <c r="E18" s="150">
        <v>1331</v>
      </c>
      <c r="F18" s="142"/>
    </row>
    <row r="19" spans="1:6" s="94" customFormat="1" ht="11.25" customHeight="1" x14ac:dyDescent="0.25">
      <c r="A19" s="149" t="s">
        <v>35</v>
      </c>
      <c r="B19" s="96"/>
      <c r="C19" s="121">
        <v>338145</v>
      </c>
      <c r="D19" s="122"/>
      <c r="E19" s="150">
        <v>5541</v>
      </c>
      <c r="F19" s="142"/>
    </row>
    <row r="20" spans="1:6" s="94" customFormat="1" ht="11.25" customHeight="1" x14ac:dyDescent="0.25">
      <c r="A20" s="149" t="s">
        <v>36</v>
      </c>
      <c r="B20" s="96"/>
      <c r="C20" s="121">
        <v>551500</v>
      </c>
      <c r="D20" s="142"/>
      <c r="E20" s="150">
        <v>67750</v>
      </c>
      <c r="F20" s="142"/>
    </row>
    <row r="21" spans="1:6" s="94" customFormat="1" ht="11.25" customHeight="1" x14ac:dyDescent="0.25">
      <c r="A21" s="149" t="s">
        <v>37</v>
      </c>
      <c r="B21" s="96"/>
      <c r="C21" s="121">
        <v>69700</v>
      </c>
      <c r="D21" s="122"/>
      <c r="E21" s="150">
        <v>3709</v>
      </c>
      <c r="F21" s="142"/>
    </row>
    <row r="22" spans="1:6" s="94" customFormat="1" ht="11.25" customHeight="1" x14ac:dyDescent="0.25">
      <c r="A22" s="149" t="s">
        <v>38</v>
      </c>
      <c r="B22" s="96"/>
      <c r="C22" s="121">
        <v>357022</v>
      </c>
      <c r="D22" s="122"/>
      <c r="E22" s="150">
        <v>83196</v>
      </c>
      <c r="F22" s="142"/>
    </row>
    <row r="23" spans="1:6" s="94" customFormat="1" ht="11.25" customHeight="1" x14ac:dyDescent="0.25">
      <c r="A23" s="149" t="s">
        <v>39</v>
      </c>
      <c r="B23" s="96"/>
      <c r="C23" s="121">
        <v>131957</v>
      </c>
      <c r="D23" s="122"/>
      <c r="E23" s="150">
        <v>10641</v>
      </c>
      <c r="F23" s="142"/>
    </row>
    <row r="24" spans="1:6" s="94" customFormat="1" ht="11.25" customHeight="1" x14ac:dyDescent="0.25">
      <c r="A24" s="149" t="s">
        <v>40</v>
      </c>
      <c r="B24" s="96"/>
      <c r="C24" s="121">
        <v>93028</v>
      </c>
      <c r="D24" s="122"/>
      <c r="E24" s="150">
        <v>9710</v>
      </c>
      <c r="F24" s="142"/>
    </row>
    <row r="25" spans="1:6" s="94" customFormat="1" ht="11.25" customHeight="1" x14ac:dyDescent="0.25">
      <c r="A25" s="149" t="s">
        <v>41</v>
      </c>
      <c r="B25" s="96"/>
      <c r="C25" s="121">
        <v>103000</v>
      </c>
      <c r="D25" s="122"/>
      <c r="E25" s="150">
        <v>373</v>
      </c>
      <c r="F25" s="142"/>
    </row>
    <row r="26" spans="1:6" s="94" customFormat="1" ht="11.25" customHeight="1" x14ac:dyDescent="0.25">
      <c r="A26" s="149" t="s">
        <v>42</v>
      </c>
      <c r="B26" s="96"/>
      <c r="C26" s="121">
        <v>70273</v>
      </c>
      <c r="D26" s="122"/>
      <c r="E26" s="150">
        <v>5033</v>
      </c>
      <c r="F26" s="142"/>
    </row>
    <row r="27" spans="1:6" s="94" customFormat="1" ht="11.25" customHeight="1" x14ac:dyDescent="0.25">
      <c r="A27" s="149" t="s">
        <v>43</v>
      </c>
      <c r="B27" s="96"/>
      <c r="C27" s="121">
        <v>301340</v>
      </c>
      <c r="D27" s="122"/>
      <c r="E27" s="150">
        <v>59110</v>
      </c>
      <c r="F27" s="142"/>
    </row>
    <row r="28" spans="1:6" s="94" customFormat="1" ht="11.25" customHeight="1" x14ac:dyDescent="0.25">
      <c r="A28" s="149" t="s">
        <v>44</v>
      </c>
      <c r="B28" s="96"/>
      <c r="C28" s="121">
        <v>2724900</v>
      </c>
      <c r="D28" s="122"/>
      <c r="E28" s="150">
        <v>19001</v>
      </c>
      <c r="F28" s="142"/>
    </row>
    <row r="29" spans="1:6" s="94" customFormat="1" ht="11.25" customHeight="1" x14ac:dyDescent="0.25">
      <c r="A29" s="149" t="s">
        <v>45</v>
      </c>
      <c r="B29" s="96"/>
      <c r="C29" s="121">
        <v>10887</v>
      </c>
      <c r="D29" s="122"/>
      <c r="E29" s="150">
        <v>1786</v>
      </c>
      <c r="F29" s="142"/>
    </row>
    <row r="30" spans="1:6" s="94" customFormat="1" ht="11.25" customHeight="1" x14ac:dyDescent="0.25">
      <c r="A30" s="149" t="s">
        <v>46</v>
      </c>
      <c r="B30" s="96"/>
      <c r="C30" s="121">
        <v>199951</v>
      </c>
      <c r="D30" s="122"/>
      <c r="E30" s="150">
        <v>6692</v>
      </c>
      <c r="F30" s="142"/>
    </row>
    <row r="31" spans="1:6" s="94" customFormat="1" ht="11.25" customHeight="1" x14ac:dyDescent="0.25">
      <c r="A31" s="149" t="s">
        <v>47</v>
      </c>
      <c r="B31" s="96"/>
      <c r="C31" s="121">
        <v>64589</v>
      </c>
      <c r="D31" s="122"/>
      <c r="E31" s="150">
        <v>1884</v>
      </c>
      <c r="F31" s="142"/>
    </row>
    <row r="32" spans="1:6" s="94" customFormat="1" ht="11.25" customHeight="1" x14ac:dyDescent="0.25">
      <c r="A32" s="149" t="s">
        <v>48</v>
      </c>
      <c r="B32" s="96"/>
      <c r="C32" s="121">
        <v>65300</v>
      </c>
      <c r="D32" s="122"/>
      <c r="E32" s="150">
        <v>2801</v>
      </c>
      <c r="F32" s="142"/>
    </row>
    <row r="33" spans="1:6" s="94" customFormat="1" ht="11.25" customHeight="1" x14ac:dyDescent="0.25">
      <c r="A33" s="149" t="s">
        <v>49</v>
      </c>
      <c r="B33" s="96"/>
      <c r="C33" s="121">
        <v>2586</v>
      </c>
      <c r="D33" s="122"/>
      <c r="E33" s="150">
        <v>640</v>
      </c>
      <c r="F33" s="142"/>
    </row>
    <row r="34" spans="1:6" s="94" customFormat="1" ht="11.25" customHeight="1" x14ac:dyDescent="0.25">
      <c r="A34" s="149" t="s">
        <v>50</v>
      </c>
      <c r="B34" s="96"/>
      <c r="C34" s="121">
        <v>316</v>
      </c>
      <c r="D34" s="122"/>
      <c r="E34" s="150">
        <v>519</v>
      </c>
      <c r="F34" s="142"/>
    </row>
    <row r="35" spans="1:6" s="94" customFormat="1" ht="11.25" customHeight="1" x14ac:dyDescent="0.25">
      <c r="A35" s="149" t="s">
        <v>51</v>
      </c>
      <c r="B35" s="96"/>
      <c r="C35" s="121">
        <v>33851</v>
      </c>
      <c r="D35" s="122"/>
      <c r="E35" s="150">
        <v>2615</v>
      </c>
      <c r="F35" s="142"/>
    </row>
    <row r="36" spans="1:6" s="94" customFormat="1" ht="11.25" customHeight="1" x14ac:dyDescent="0.25">
      <c r="A36" s="149" t="s">
        <v>52</v>
      </c>
      <c r="B36" s="96"/>
      <c r="C36" s="121">
        <v>13812</v>
      </c>
      <c r="D36" s="122"/>
      <c r="E36" s="150">
        <v>619</v>
      </c>
      <c r="F36" s="142"/>
    </row>
    <row r="37" spans="1:6" s="94" customFormat="1" ht="11.25" customHeight="1" x14ac:dyDescent="0.25">
      <c r="A37" s="149" t="s">
        <v>53</v>
      </c>
      <c r="B37" s="96"/>
      <c r="C37" s="121">
        <v>41543</v>
      </c>
      <c r="D37" s="122"/>
      <c r="E37" s="150">
        <v>17533</v>
      </c>
      <c r="F37" s="142"/>
    </row>
    <row r="38" spans="1:6" s="94" customFormat="1" ht="11.25" customHeight="1" x14ac:dyDescent="0.25">
      <c r="A38" s="149" t="s">
        <v>54</v>
      </c>
      <c r="B38" s="96"/>
      <c r="C38" s="121">
        <v>25713</v>
      </c>
      <c r="D38" s="122"/>
      <c r="E38" s="150">
        <v>2065</v>
      </c>
      <c r="F38" s="142"/>
    </row>
    <row r="39" spans="1:6" s="94" customFormat="1" ht="11.25" customHeight="1" x14ac:dyDescent="0.25">
      <c r="A39" s="149" t="s">
        <v>55</v>
      </c>
      <c r="B39" s="96"/>
      <c r="C39" s="121">
        <v>323802</v>
      </c>
      <c r="D39" s="122"/>
      <c r="E39" s="150">
        <v>5408</v>
      </c>
      <c r="F39" s="142"/>
    </row>
    <row r="40" spans="1:6" s="94" customFormat="1" ht="11.25" customHeight="1" x14ac:dyDescent="0.25">
      <c r="A40" s="149" t="s">
        <v>56</v>
      </c>
      <c r="B40" s="96"/>
      <c r="C40" s="121">
        <v>312685</v>
      </c>
      <c r="D40" s="122"/>
      <c r="E40" s="150">
        <v>37747</v>
      </c>
      <c r="F40" s="142"/>
    </row>
    <row r="41" spans="1:6" s="94" customFormat="1" ht="11.25" customHeight="1" x14ac:dyDescent="0.25">
      <c r="A41" s="149" t="s">
        <v>58</v>
      </c>
      <c r="B41" s="96"/>
      <c r="C41" s="121">
        <v>92090</v>
      </c>
      <c r="D41" s="122"/>
      <c r="E41" s="150">
        <v>10325</v>
      </c>
      <c r="F41" s="142"/>
    </row>
    <row r="42" spans="1:6" s="94" customFormat="1" ht="11.25" customHeight="1" x14ac:dyDescent="0.25">
      <c r="A42" s="149" t="s">
        <v>59</v>
      </c>
      <c r="B42" s="96"/>
      <c r="C42" s="121">
        <v>238391</v>
      </c>
      <c r="D42" s="122"/>
      <c r="E42" s="150">
        <v>19120</v>
      </c>
      <c r="F42" s="142"/>
    </row>
    <row r="43" spans="1:6" s="94" customFormat="1" ht="11.25" customHeight="1" x14ac:dyDescent="0.25">
      <c r="A43" s="149" t="s">
        <v>60</v>
      </c>
      <c r="B43" s="96"/>
      <c r="C43" s="121">
        <v>17098242</v>
      </c>
      <c r="D43" s="122"/>
      <c r="E43" s="150">
        <v>143449</v>
      </c>
      <c r="F43" s="142"/>
    </row>
    <row r="44" spans="1:6" s="94" customFormat="1" ht="11.25" customHeight="1" x14ac:dyDescent="0.25">
      <c r="A44" s="149" t="s">
        <v>61</v>
      </c>
      <c r="B44" s="96"/>
      <c r="C44" s="121">
        <v>77474</v>
      </c>
      <c r="D44" s="122"/>
      <c r="E44" s="150">
        <v>6834</v>
      </c>
      <c r="F44" s="142"/>
    </row>
    <row r="45" spans="1:6" s="94" customFormat="1" ht="11.25" customHeight="1" x14ac:dyDescent="0.25">
      <c r="A45" s="149" t="s">
        <v>63</v>
      </c>
      <c r="B45" s="96"/>
      <c r="C45" s="121">
        <v>49035</v>
      </c>
      <c r="D45" s="122"/>
      <c r="E45" s="150">
        <v>5447</v>
      </c>
      <c r="F45" s="142"/>
    </row>
    <row r="46" spans="1:6" s="94" customFormat="1" ht="11.25" customHeight="1" x14ac:dyDescent="0.25">
      <c r="A46" s="149" t="s">
        <v>65</v>
      </c>
      <c r="B46" s="96"/>
      <c r="C46" s="121">
        <v>20273</v>
      </c>
      <c r="D46" s="122"/>
      <c r="E46" s="150">
        <v>2108</v>
      </c>
      <c r="F46" s="142"/>
    </row>
    <row r="47" spans="1:6" s="94" customFormat="1" ht="11.25" customHeight="1" x14ac:dyDescent="0.25">
      <c r="A47" s="149" t="s">
        <v>66</v>
      </c>
      <c r="B47" s="96"/>
      <c r="C47" s="121">
        <v>505370</v>
      </c>
      <c r="D47" s="122"/>
      <c r="E47" s="150">
        <v>47416</v>
      </c>
      <c r="F47" s="142"/>
    </row>
    <row r="48" spans="1:6" s="94" customFormat="1" ht="11.25" customHeight="1" x14ac:dyDescent="0.25">
      <c r="A48" s="149" t="s">
        <v>67</v>
      </c>
      <c r="B48" s="96"/>
      <c r="C48" s="121">
        <v>450295</v>
      </c>
      <c r="D48" s="122"/>
      <c r="E48" s="150">
        <v>10416</v>
      </c>
      <c r="F48" s="142"/>
    </row>
    <row r="49" spans="1:6" s="94" customFormat="1" ht="11.25" customHeight="1" x14ac:dyDescent="0.25">
      <c r="A49" s="149" t="s">
        <v>68</v>
      </c>
      <c r="B49" s="123"/>
      <c r="C49" s="121">
        <v>41277</v>
      </c>
      <c r="D49" s="122"/>
      <c r="E49" s="150">
        <v>8703</v>
      </c>
      <c r="F49" s="142"/>
    </row>
    <row r="50" spans="1:6" s="94" customFormat="1" ht="11.25" customHeight="1" x14ac:dyDescent="0.25">
      <c r="A50" s="149" t="s">
        <v>69</v>
      </c>
      <c r="B50" s="96"/>
      <c r="C50" s="121">
        <v>144100</v>
      </c>
      <c r="D50" s="122"/>
      <c r="E50" s="150">
        <v>9750</v>
      </c>
      <c r="F50" s="142"/>
    </row>
    <row r="51" spans="1:6" s="106" customFormat="1" ht="11.25" customHeight="1" x14ac:dyDescent="0.25">
      <c r="A51" s="151" t="s">
        <v>71</v>
      </c>
      <c r="C51" s="121">
        <v>783562</v>
      </c>
      <c r="D51" s="124"/>
      <c r="E51" s="150">
        <v>84775</v>
      </c>
    </row>
    <row r="52" spans="1:6" s="94" customFormat="1" ht="11.25" customHeight="1" x14ac:dyDescent="0.25">
      <c r="A52" s="149" t="s">
        <v>72</v>
      </c>
      <c r="B52" s="96"/>
      <c r="C52" s="121">
        <v>488100</v>
      </c>
      <c r="D52" s="122"/>
      <c r="E52" s="150">
        <v>6342</v>
      </c>
      <c r="F52" s="142"/>
    </row>
    <row r="53" spans="1:6" s="94" customFormat="1" ht="11.25" customHeight="1" x14ac:dyDescent="0.25">
      <c r="A53" s="149" t="s">
        <v>73</v>
      </c>
      <c r="B53" s="96"/>
      <c r="C53" s="121">
        <v>603550</v>
      </c>
      <c r="D53" s="122"/>
      <c r="E53" s="150">
        <v>43793</v>
      </c>
      <c r="F53" s="142"/>
    </row>
    <row r="54" spans="1:6" s="94" customFormat="1" ht="11.25" customHeight="1" x14ac:dyDescent="0.25">
      <c r="A54" s="149" t="s">
        <v>74</v>
      </c>
      <c r="B54" s="96"/>
      <c r="C54" s="121">
        <v>243610</v>
      </c>
      <c r="D54" s="122"/>
      <c r="E54" s="150">
        <v>67327</v>
      </c>
      <c r="F54" s="142"/>
    </row>
    <row r="55" spans="1:6" s="94" customFormat="1" ht="11.25" customHeight="1" x14ac:dyDescent="0.25">
      <c r="A55" s="152" t="s">
        <v>75</v>
      </c>
      <c r="B55" s="96"/>
      <c r="C55" s="121">
        <v>447400</v>
      </c>
      <c r="D55" s="122"/>
      <c r="E55" s="153">
        <v>34915</v>
      </c>
      <c r="F55" s="142"/>
    </row>
    <row r="56" spans="1:6" s="94" customFormat="1" ht="11.25" customHeight="1" x14ac:dyDescent="0.25">
      <c r="A56" s="145" t="s">
        <v>76</v>
      </c>
      <c r="B56" s="96"/>
      <c r="C56" s="125">
        <v>30148000</v>
      </c>
      <c r="D56" s="126"/>
      <c r="E56" s="125">
        <v>923819</v>
      </c>
      <c r="F56" s="147"/>
    </row>
    <row r="57" spans="1:6" s="94" customFormat="1" ht="11.25" customHeight="1" x14ac:dyDescent="0.25">
      <c r="A57" s="146" t="s">
        <v>174</v>
      </c>
      <c r="B57" s="99"/>
      <c r="C57" s="127">
        <v>148940000</v>
      </c>
      <c r="D57" s="128">
        <v>3</v>
      </c>
      <c r="E57" s="77">
        <v>7888409</v>
      </c>
      <c r="F57" s="128">
        <v>4</v>
      </c>
    </row>
    <row r="58" spans="1:6" s="94" customFormat="1" ht="11.25" customHeight="1" x14ac:dyDescent="0.25">
      <c r="A58" s="156" t="s">
        <v>175</v>
      </c>
      <c r="B58" s="157"/>
      <c r="C58" s="157"/>
      <c r="D58" s="157"/>
      <c r="E58" s="157"/>
      <c r="F58" s="158"/>
    </row>
    <row r="59" spans="1:6" s="94" customFormat="1" ht="11.25" customHeight="1" x14ac:dyDescent="0.25">
      <c r="A59" s="159" t="s">
        <v>176</v>
      </c>
      <c r="B59" s="160"/>
      <c r="C59" s="160"/>
      <c r="D59" s="160"/>
      <c r="E59" s="160"/>
      <c r="F59" s="155"/>
    </row>
    <row r="60" spans="1:6" s="94" customFormat="1" ht="11.25" customHeight="1" x14ac:dyDescent="0.25">
      <c r="A60" s="161" t="s">
        <v>177</v>
      </c>
      <c r="B60" s="162"/>
      <c r="C60" s="162"/>
      <c r="D60" s="162"/>
      <c r="E60" s="162"/>
      <c r="F60" s="162"/>
    </row>
    <row r="61" spans="1:6" s="94" customFormat="1" ht="11.25" customHeight="1" x14ac:dyDescent="0.25">
      <c r="A61" s="154" t="s">
        <v>178</v>
      </c>
      <c r="B61" s="155"/>
      <c r="C61" s="155"/>
      <c r="D61" s="155"/>
      <c r="E61" s="155"/>
      <c r="F61" s="155"/>
    </row>
    <row r="62" spans="1:6" x14ac:dyDescent="0.25">
      <c r="C62" s="129"/>
    </row>
    <row r="63" spans="1:6" x14ac:dyDescent="0.25">
      <c r="C63" s="129"/>
    </row>
  </sheetData>
  <mergeCells count="7">
    <mergeCell ref="A61:F61"/>
    <mergeCell ref="A58:F58"/>
    <mergeCell ref="A59:F59"/>
    <mergeCell ref="A60:F60"/>
    <mergeCell ref="A1:F1"/>
    <mergeCell ref="A2:F2"/>
    <mergeCell ref="A3:F3"/>
  </mergeCells>
  <pageMargins left="0.5" right="0.5" top="0.5" bottom="0.75" header="0.5" footer="0.5"/>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3B573-7665-4AB6-B457-19253C739976}">
  <dimension ref="A1:L66"/>
  <sheetViews>
    <sheetView zoomScaleNormal="100" workbookViewId="0">
      <selection activeCell="A3" sqref="A3:L3"/>
    </sheetView>
  </sheetViews>
  <sheetFormatPr defaultRowHeight="15" x14ac:dyDescent="0.25"/>
  <cols>
    <col min="1" max="1" width="31.5703125" style="119" customWidth="1"/>
    <col min="2" max="2" width="1.7109375" style="119" customWidth="1"/>
    <col min="3" max="3" width="13" style="119" customWidth="1"/>
    <col min="4" max="4" width="1.7109375" style="119" customWidth="1"/>
    <col min="5" max="5" width="8.85546875" style="119" customWidth="1"/>
    <col min="6" max="6" width="1.7109375" style="119" customWidth="1"/>
    <col min="7" max="7" width="7.5703125" style="119" customWidth="1"/>
    <col min="8" max="8" width="1.5703125" style="119" customWidth="1"/>
    <col min="9" max="9" width="7.5703125" style="120" customWidth="1"/>
    <col min="10" max="10" width="1.5703125" style="119" customWidth="1"/>
    <col min="11" max="11" width="7.5703125" style="120" customWidth="1"/>
    <col min="12" max="12" width="1.5703125" style="119" customWidth="1"/>
    <col min="13" max="211" width="8.85546875" style="119"/>
    <col min="212" max="212" width="23.7109375" style="119" bestFit="1" customWidth="1"/>
    <col min="213" max="213" width="1.7109375" style="119" customWidth="1"/>
    <col min="214" max="214" width="13" style="119" customWidth="1"/>
    <col min="215" max="215" width="1.7109375" style="119" customWidth="1"/>
    <col min="216" max="216" width="8.85546875" style="119" customWidth="1"/>
    <col min="217" max="217" width="1.7109375" style="119" customWidth="1"/>
    <col min="218" max="218" width="10" style="119" customWidth="1"/>
    <col min="219" max="219" width="1.5703125" style="119" customWidth="1"/>
    <col min="220" max="220" width="10" style="119" customWidth="1"/>
    <col min="221" max="221" width="1.5703125" style="119" customWidth="1"/>
    <col min="222" max="222" width="10" style="119" customWidth="1"/>
    <col min="223" max="223" width="1.5703125" style="119" customWidth="1"/>
    <col min="224" max="467" width="8.85546875" style="119"/>
    <col min="468" max="468" width="23.7109375" style="119" bestFit="1" customWidth="1"/>
    <col min="469" max="469" width="1.7109375" style="119" customWidth="1"/>
    <col min="470" max="470" width="13" style="119" customWidth="1"/>
    <col min="471" max="471" width="1.7109375" style="119" customWidth="1"/>
    <col min="472" max="472" width="8.85546875" style="119" customWidth="1"/>
    <col min="473" max="473" width="1.7109375" style="119" customWidth="1"/>
    <col min="474" max="474" width="10" style="119" customWidth="1"/>
    <col min="475" max="475" width="1.5703125" style="119" customWidth="1"/>
    <col min="476" max="476" width="10" style="119" customWidth="1"/>
    <col min="477" max="477" width="1.5703125" style="119" customWidth="1"/>
    <col min="478" max="478" width="10" style="119" customWidth="1"/>
    <col min="479" max="479" width="1.5703125" style="119" customWidth="1"/>
    <col min="480" max="723" width="8.85546875" style="119"/>
    <col min="724" max="724" width="23.7109375" style="119" bestFit="1" customWidth="1"/>
    <col min="725" max="725" width="1.7109375" style="119" customWidth="1"/>
    <col min="726" max="726" width="13" style="119" customWidth="1"/>
    <col min="727" max="727" width="1.7109375" style="119" customWidth="1"/>
    <col min="728" max="728" width="8.85546875" style="119" customWidth="1"/>
    <col min="729" max="729" width="1.7109375" style="119" customWidth="1"/>
    <col min="730" max="730" width="10" style="119" customWidth="1"/>
    <col min="731" max="731" width="1.5703125" style="119" customWidth="1"/>
    <col min="732" max="732" width="10" style="119" customWidth="1"/>
    <col min="733" max="733" width="1.5703125" style="119" customWidth="1"/>
    <col min="734" max="734" width="10" style="119" customWidth="1"/>
    <col min="735" max="735" width="1.5703125" style="119" customWidth="1"/>
    <col min="736" max="979" width="8.85546875" style="119"/>
    <col min="980" max="980" width="23.7109375" style="119" bestFit="1" customWidth="1"/>
    <col min="981" max="981" width="1.7109375" style="119" customWidth="1"/>
    <col min="982" max="982" width="13" style="119" customWidth="1"/>
    <col min="983" max="983" width="1.7109375" style="119" customWidth="1"/>
    <col min="984" max="984" width="8.85546875" style="119" customWidth="1"/>
    <col min="985" max="985" width="1.7109375" style="119" customWidth="1"/>
    <col min="986" max="986" width="10" style="119" customWidth="1"/>
    <col min="987" max="987" width="1.5703125" style="119" customWidth="1"/>
    <col min="988" max="988" width="10" style="119" customWidth="1"/>
    <col min="989" max="989" width="1.5703125" style="119" customWidth="1"/>
    <col min="990" max="990" width="10" style="119" customWidth="1"/>
    <col min="991" max="991" width="1.5703125" style="119" customWidth="1"/>
    <col min="992" max="1235" width="8.85546875" style="119"/>
    <col min="1236" max="1236" width="23.7109375" style="119" bestFit="1" customWidth="1"/>
    <col min="1237" max="1237" width="1.7109375" style="119" customWidth="1"/>
    <col min="1238" max="1238" width="13" style="119" customWidth="1"/>
    <col min="1239" max="1239" width="1.7109375" style="119" customWidth="1"/>
    <col min="1240" max="1240" width="8.85546875" style="119" customWidth="1"/>
    <col min="1241" max="1241" width="1.7109375" style="119" customWidth="1"/>
    <col min="1242" max="1242" width="10" style="119" customWidth="1"/>
    <col min="1243" max="1243" width="1.5703125" style="119" customWidth="1"/>
    <col min="1244" max="1244" width="10" style="119" customWidth="1"/>
    <col min="1245" max="1245" width="1.5703125" style="119" customWidth="1"/>
    <col min="1246" max="1246" width="10" style="119" customWidth="1"/>
    <col min="1247" max="1247" width="1.5703125" style="119" customWidth="1"/>
    <col min="1248" max="1491" width="8.85546875" style="119"/>
    <col min="1492" max="1492" width="23.7109375" style="119" bestFit="1" customWidth="1"/>
    <col min="1493" max="1493" width="1.7109375" style="119" customWidth="1"/>
    <col min="1494" max="1494" width="13" style="119" customWidth="1"/>
    <col min="1495" max="1495" width="1.7109375" style="119" customWidth="1"/>
    <col min="1496" max="1496" width="8.85546875" style="119" customWidth="1"/>
    <col min="1497" max="1497" width="1.7109375" style="119" customWidth="1"/>
    <col min="1498" max="1498" width="10" style="119" customWidth="1"/>
    <col min="1499" max="1499" width="1.5703125" style="119" customWidth="1"/>
    <col min="1500" max="1500" width="10" style="119" customWidth="1"/>
    <col min="1501" max="1501" width="1.5703125" style="119" customWidth="1"/>
    <col min="1502" max="1502" width="10" style="119" customWidth="1"/>
    <col min="1503" max="1503" width="1.5703125" style="119" customWidth="1"/>
    <col min="1504" max="1747" width="8.85546875" style="119"/>
    <col min="1748" max="1748" width="23.7109375" style="119" bestFit="1" customWidth="1"/>
    <col min="1749" max="1749" width="1.7109375" style="119" customWidth="1"/>
    <col min="1750" max="1750" width="13" style="119" customWidth="1"/>
    <col min="1751" max="1751" width="1.7109375" style="119" customWidth="1"/>
    <col min="1752" max="1752" width="8.85546875" style="119" customWidth="1"/>
    <col min="1753" max="1753" width="1.7109375" style="119" customWidth="1"/>
    <col min="1754" max="1754" width="10" style="119" customWidth="1"/>
    <col min="1755" max="1755" width="1.5703125" style="119" customWidth="1"/>
    <col min="1756" max="1756" width="10" style="119" customWidth="1"/>
    <col min="1757" max="1757" width="1.5703125" style="119" customWidth="1"/>
    <col min="1758" max="1758" width="10" style="119" customWidth="1"/>
    <col min="1759" max="1759" width="1.5703125" style="119" customWidth="1"/>
    <col min="1760" max="2003" width="8.85546875" style="119"/>
    <col min="2004" max="2004" width="23.7109375" style="119" bestFit="1" customWidth="1"/>
    <col min="2005" max="2005" width="1.7109375" style="119" customWidth="1"/>
    <col min="2006" max="2006" width="13" style="119" customWidth="1"/>
    <col min="2007" max="2007" width="1.7109375" style="119" customWidth="1"/>
    <col min="2008" max="2008" width="8.85546875" style="119" customWidth="1"/>
    <col min="2009" max="2009" width="1.7109375" style="119" customWidth="1"/>
    <col min="2010" max="2010" width="10" style="119" customWidth="1"/>
    <col min="2011" max="2011" width="1.5703125" style="119" customWidth="1"/>
    <col min="2012" max="2012" width="10" style="119" customWidth="1"/>
    <col min="2013" max="2013" width="1.5703125" style="119" customWidth="1"/>
    <col min="2014" max="2014" width="10" style="119" customWidth="1"/>
    <col min="2015" max="2015" width="1.5703125" style="119" customWidth="1"/>
    <col min="2016" max="2259" width="8.85546875" style="119"/>
    <col min="2260" max="2260" width="23.7109375" style="119" bestFit="1" customWidth="1"/>
    <col min="2261" max="2261" width="1.7109375" style="119" customWidth="1"/>
    <col min="2262" max="2262" width="13" style="119" customWidth="1"/>
    <col min="2263" max="2263" width="1.7109375" style="119" customWidth="1"/>
    <col min="2264" max="2264" width="8.85546875" style="119" customWidth="1"/>
    <col min="2265" max="2265" width="1.7109375" style="119" customWidth="1"/>
    <col min="2266" max="2266" width="10" style="119" customWidth="1"/>
    <col min="2267" max="2267" width="1.5703125" style="119" customWidth="1"/>
    <col min="2268" max="2268" width="10" style="119" customWidth="1"/>
    <col min="2269" max="2269" width="1.5703125" style="119" customWidth="1"/>
    <col min="2270" max="2270" width="10" style="119" customWidth="1"/>
    <col min="2271" max="2271" width="1.5703125" style="119" customWidth="1"/>
    <col min="2272" max="2515" width="8.85546875" style="119"/>
    <col min="2516" max="2516" width="23.7109375" style="119" bestFit="1" customWidth="1"/>
    <col min="2517" max="2517" width="1.7109375" style="119" customWidth="1"/>
    <col min="2518" max="2518" width="13" style="119" customWidth="1"/>
    <col min="2519" max="2519" width="1.7109375" style="119" customWidth="1"/>
    <col min="2520" max="2520" width="8.85546875" style="119" customWidth="1"/>
    <col min="2521" max="2521" width="1.7109375" style="119" customWidth="1"/>
    <col min="2522" max="2522" width="10" style="119" customWidth="1"/>
    <col min="2523" max="2523" width="1.5703125" style="119" customWidth="1"/>
    <col min="2524" max="2524" width="10" style="119" customWidth="1"/>
    <col min="2525" max="2525" width="1.5703125" style="119" customWidth="1"/>
    <col min="2526" max="2526" width="10" style="119" customWidth="1"/>
    <col min="2527" max="2527" width="1.5703125" style="119" customWidth="1"/>
    <col min="2528" max="2771" width="8.85546875" style="119"/>
    <col min="2772" max="2772" width="23.7109375" style="119" bestFit="1" customWidth="1"/>
    <col min="2773" max="2773" width="1.7109375" style="119" customWidth="1"/>
    <col min="2774" max="2774" width="13" style="119" customWidth="1"/>
    <col min="2775" max="2775" width="1.7109375" style="119" customWidth="1"/>
    <col min="2776" max="2776" width="8.85546875" style="119" customWidth="1"/>
    <col min="2777" max="2777" width="1.7109375" style="119" customWidth="1"/>
    <col min="2778" max="2778" width="10" style="119" customWidth="1"/>
    <col min="2779" max="2779" width="1.5703125" style="119" customWidth="1"/>
    <col min="2780" max="2780" width="10" style="119" customWidth="1"/>
    <col min="2781" max="2781" width="1.5703125" style="119" customWidth="1"/>
    <col min="2782" max="2782" width="10" style="119" customWidth="1"/>
    <col min="2783" max="2783" width="1.5703125" style="119" customWidth="1"/>
    <col min="2784" max="3027" width="8.85546875" style="119"/>
    <col min="3028" max="3028" width="23.7109375" style="119" bestFit="1" customWidth="1"/>
    <col min="3029" max="3029" width="1.7109375" style="119" customWidth="1"/>
    <col min="3030" max="3030" width="13" style="119" customWidth="1"/>
    <col min="3031" max="3031" width="1.7109375" style="119" customWidth="1"/>
    <col min="3032" max="3032" width="8.85546875" style="119" customWidth="1"/>
    <col min="3033" max="3033" width="1.7109375" style="119" customWidth="1"/>
    <col min="3034" max="3034" width="10" style="119" customWidth="1"/>
    <col min="3035" max="3035" width="1.5703125" style="119" customWidth="1"/>
    <col min="3036" max="3036" width="10" style="119" customWidth="1"/>
    <col min="3037" max="3037" width="1.5703125" style="119" customWidth="1"/>
    <col min="3038" max="3038" width="10" style="119" customWidth="1"/>
    <col min="3039" max="3039" width="1.5703125" style="119" customWidth="1"/>
    <col min="3040" max="3283" width="8.85546875" style="119"/>
    <col min="3284" max="3284" width="23.7109375" style="119" bestFit="1" customWidth="1"/>
    <col min="3285" max="3285" width="1.7109375" style="119" customWidth="1"/>
    <col min="3286" max="3286" width="13" style="119" customWidth="1"/>
    <col min="3287" max="3287" width="1.7109375" style="119" customWidth="1"/>
    <col min="3288" max="3288" width="8.85546875" style="119" customWidth="1"/>
    <col min="3289" max="3289" width="1.7109375" style="119" customWidth="1"/>
    <col min="3290" max="3290" width="10" style="119" customWidth="1"/>
    <col min="3291" max="3291" width="1.5703125" style="119" customWidth="1"/>
    <col min="3292" max="3292" width="10" style="119" customWidth="1"/>
    <col min="3293" max="3293" width="1.5703125" style="119" customWidth="1"/>
    <col min="3294" max="3294" width="10" style="119" customWidth="1"/>
    <col min="3295" max="3295" width="1.5703125" style="119" customWidth="1"/>
    <col min="3296" max="3539" width="8.85546875" style="119"/>
    <col min="3540" max="3540" width="23.7109375" style="119" bestFit="1" customWidth="1"/>
    <col min="3541" max="3541" width="1.7109375" style="119" customWidth="1"/>
    <col min="3542" max="3542" width="13" style="119" customWidth="1"/>
    <col min="3543" max="3543" width="1.7109375" style="119" customWidth="1"/>
    <col min="3544" max="3544" width="8.85546875" style="119" customWidth="1"/>
    <col min="3545" max="3545" width="1.7109375" style="119" customWidth="1"/>
    <col min="3546" max="3546" width="10" style="119" customWidth="1"/>
    <col min="3547" max="3547" width="1.5703125" style="119" customWidth="1"/>
    <col min="3548" max="3548" width="10" style="119" customWidth="1"/>
    <col min="3549" max="3549" width="1.5703125" style="119" customWidth="1"/>
    <col min="3550" max="3550" width="10" style="119" customWidth="1"/>
    <col min="3551" max="3551" width="1.5703125" style="119" customWidth="1"/>
    <col min="3552" max="3795" width="8.85546875" style="119"/>
    <col min="3796" max="3796" width="23.7109375" style="119" bestFit="1" customWidth="1"/>
    <col min="3797" max="3797" width="1.7109375" style="119" customWidth="1"/>
    <col min="3798" max="3798" width="13" style="119" customWidth="1"/>
    <col min="3799" max="3799" width="1.7109375" style="119" customWidth="1"/>
    <col min="3800" max="3800" width="8.85546875" style="119" customWidth="1"/>
    <col min="3801" max="3801" width="1.7109375" style="119" customWidth="1"/>
    <col min="3802" max="3802" width="10" style="119" customWidth="1"/>
    <col min="3803" max="3803" width="1.5703125" style="119" customWidth="1"/>
    <col min="3804" max="3804" width="10" style="119" customWidth="1"/>
    <col min="3805" max="3805" width="1.5703125" style="119" customWidth="1"/>
    <col min="3806" max="3806" width="10" style="119" customWidth="1"/>
    <col min="3807" max="3807" width="1.5703125" style="119" customWidth="1"/>
    <col min="3808" max="4051" width="8.85546875" style="119"/>
    <col min="4052" max="4052" width="23.7109375" style="119" bestFit="1" customWidth="1"/>
    <col min="4053" max="4053" width="1.7109375" style="119" customWidth="1"/>
    <col min="4054" max="4054" width="13" style="119" customWidth="1"/>
    <col min="4055" max="4055" width="1.7109375" style="119" customWidth="1"/>
    <col min="4056" max="4056" width="8.85546875" style="119" customWidth="1"/>
    <col min="4057" max="4057" width="1.7109375" style="119" customWidth="1"/>
    <col min="4058" max="4058" width="10" style="119" customWidth="1"/>
    <col min="4059" max="4059" width="1.5703125" style="119" customWidth="1"/>
    <col min="4060" max="4060" width="10" style="119" customWidth="1"/>
    <col min="4061" max="4061" width="1.5703125" style="119" customWidth="1"/>
    <col min="4062" max="4062" width="10" style="119" customWidth="1"/>
    <col min="4063" max="4063" width="1.5703125" style="119" customWidth="1"/>
    <col min="4064" max="4307" width="8.85546875" style="119"/>
    <col min="4308" max="4308" width="23.7109375" style="119" bestFit="1" customWidth="1"/>
    <col min="4309" max="4309" width="1.7109375" style="119" customWidth="1"/>
    <col min="4310" max="4310" width="13" style="119" customWidth="1"/>
    <col min="4311" max="4311" width="1.7109375" style="119" customWidth="1"/>
    <col min="4312" max="4312" width="8.85546875" style="119" customWidth="1"/>
    <col min="4313" max="4313" width="1.7109375" style="119" customWidth="1"/>
    <col min="4314" max="4314" width="10" style="119" customWidth="1"/>
    <col min="4315" max="4315" width="1.5703125" style="119" customWidth="1"/>
    <col min="4316" max="4316" width="10" style="119" customWidth="1"/>
    <col min="4317" max="4317" width="1.5703125" style="119" customWidth="1"/>
    <col min="4318" max="4318" width="10" style="119" customWidth="1"/>
    <col min="4319" max="4319" width="1.5703125" style="119" customWidth="1"/>
    <col min="4320" max="4563" width="8.85546875" style="119"/>
    <col min="4564" max="4564" width="23.7109375" style="119" bestFit="1" customWidth="1"/>
    <col min="4565" max="4565" width="1.7109375" style="119" customWidth="1"/>
    <col min="4566" max="4566" width="13" style="119" customWidth="1"/>
    <col min="4567" max="4567" width="1.7109375" style="119" customWidth="1"/>
    <col min="4568" max="4568" width="8.85546875" style="119" customWidth="1"/>
    <col min="4569" max="4569" width="1.7109375" style="119" customWidth="1"/>
    <col min="4570" max="4570" width="10" style="119" customWidth="1"/>
    <col min="4571" max="4571" width="1.5703125" style="119" customWidth="1"/>
    <col min="4572" max="4572" width="10" style="119" customWidth="1"/>
    <col min="4573" max="4573" width="1.5703125" style="119" customWidth="1"/>
    <col min="4574" max="4574" width="10" style="119" customWidth="1"/>
    <col min="4575" max="4575" width="1.5703125" style="119" customWidth="1"/>
    <col min="4576" max="4819" width="8.85546875" style="119"/>
    <col min="4820" max="4820" width="23.7109375" style="119" bestFit="1" customWidth="1"/>
    <col min="4821" max="4821" width="1.7109375" style="119" customWidth="1"/>
    <col min="4822" max="4822" width="13" style="119" customWidth="1"/>
    <col min="4823" max="4823" width="1.7109375" style="119" customWidth="1"/>
    <col min="4824" max="4824" width="8.85546875" style="119" customWidth="1"/>
    <col min="4825" max="4825" width="1.7109375" style="119" customWidth="1"/>
    <col min="4826" max="4826" width="10" style="119" customWidth="1"/>
    <col min="4827" max="4827" width="1.5703125" style="119" customWidth="1"/>
    <col min="4828" max="4828" width="10" style="119" customWidth="1"/>
    <col min="4829" max="4829" width="1.5703125" style="119" customWidth="1"/>
    <col min="4830" max="4830" width="10" style="119" customWidth="1"/>
    <col min="4831" max="4831" width="1.5703125" style="119" customWidth="1"/>
    <col min="4832" max="5075" width="8.85546875" style="119"/>
    <col min="5076" max="5076" width="23.7109375" style="119" bestFit="1" customWidth="1"/>
    <col min="5077" max="5077" width="1.7109375" style="119" customWidth="1"/>
    <col min="5078" max="5078" width="13" style="119" customWidth="1"/>
    <col min="5079" max="5079" width="1.7109375" style="119" customWidth="1"/>
    <col min="5080" max="5080" width="8.85546875" style="119" customWidth="1"/>
    <col min="5081" max="5081" width="1.7109375" style="119" customWidth="1"/>
    <col min="5082" max="5082" width="10" style="119" customWidth="1"/>
    <col min="5083" max="5083" width="1.5703125" style="119" customWidth="1"/>
    <col min="5084" max="5084" width="10" style="119" customWidth="1"/>
    <col min="5085" max="5085" width="1.5703125" style="119" customWidth="1"/>
    <col min="5086" max="5086" width="10" style="119" customWidth="1"/>
    <col min="5087" max="5087" width="1.5703125" style="119" customWidth="1"/>
    <col min="5088" max="5331" width="8.85546875" style="119"/>
    <col min="5332" max="5332" width="23.7109375" style="119" bestFit="1" customWidth="1"/>
    <col min="5333" max="5333" width="1.7109375" style="119" customWidth="1"/>
    <col min="5334" max="5334" width="13" style="119" customWidth="1"/>
    <col min="5335" max="5335" width="1.7109375" style="119" customWidth="1"/>
    <col min="5336" max="5336" width="8.85546875" style="119" customWidth="1"/>
    <col min="5337" max="5337" width="1.7109375" style="119" customWidth="1"/>
    <col min="5338" max="5338" width="10" style="119" customWidth="1"/>
    <col min="5339" max="5339" width="1.5703125" style="119" customWidth="1"/>
    <col min="5340" max="5340" width="10" style="119" customWidth="1"/>
    <col min="5341" max="5341" width="1.5703125" style="119" customWidth="1"/>
    <col min="5342" max="5342" width="10" style="119" customWidth="1"/>
    <col min="5343" max="5343" width="1.5703125" style="119" customWidth="1"/>
    <col min="5344" max="5587" width="8.85546875" style="119"/>
    <col min="5588" max="5588" width="23.7109375" style="119" bestFit="1" customWidth="1"/>
    <col min="5589" max="5589" width="1.7109375" style="119" customWidth="1"/>
    <col min="5590" max="5590" width="13" style="119" customWidth="1"/>
    <col min="5591" max="5591" width="1.7109375" style="119" customWidth="1"/>
    <col min="5592" max="5592" width="8.85546875" style="119" customWidth="1"/>
    <col min="5593" max="5593" width="1.7109375" style="119" customWidth="1"/>
    <col min="5594" max="5594" width="10" style="119" customWidth="1"/>
    <col min="5595" max="5595" width="1.5703125" style="119" customWidth="1"/>
    <col min="5596" max="5596" width="10" style="119" customWidth="1"/>
    <col min="5597" max="5597" width="1.5703125" style="119" customWidth="1"/>
    <col min="5598" max="5598" width="10" style="119" customWidth="1"/>
    <col min="5599" max="5599" width="1.5703125" style="119" customWidth="1"/>
    <col min="5600" max="5843" width="8.85546875" style="119"/>
    <col min="5844" max="5844" width="23.7109375" style="119" bestFit="1" customWidth="1"/>
    <col min="5845" max="5845" width="1.7109375" style="119" customWidth="1"/>
    <col min="5846" max="5846" width="13" style="119" customWidth="1"/>
    <col min="5847" max="5847" width="1.7109375" style="119" customWidth="1"/>
    <col min="5848" max="5848" width="8.85546875" style="119" customWidth="1"/>
    <col min="5849" max="5849" width="1.7109375" style="119" customWidth="1"/>
    <col min="5850" max="5850" width="10" style="119" customWidth="1"/>
    <col min="5851" max="5851" width="1.5703125" style="119" customWidth="1"/>
    <col min="5852" max="5852" width="10" style="119" customWidth="1"/>
    <col min="5853" max="5853" width="1.5703125" style="119" customWidth="1"/>
    <col min="5854" max="5854" width="10" style="119" customWidth="1"/>
    <col min="5855" max="5855" width="1.5703125" style="119" customWidth="1"/>
    <col min="5856" max="6099" width="8.85546875" style="119"/>
    <col min="6100" max="6100" width="23.7109375" style="119" bestFit="1" customWidth="1"/>
    <col min="6101" max="6101" width="1.7109375" style="119" customWidth="1"/>
    <col min="6102" max="6102" width="13" style="119" customWidth="1"/>
    <col min="6103" max="6103" width="1.7109375" style="119" customWidth="1"/>
    <col min="6104" max="6104" width="8.85546875" style="119" customWidth="1"/>
    <col min="6105" max="6105" width="1.7109375" style="119" customWidth="1"/>
    <col min="6106" max="6106" width="10" style="119" customWidth="1"/>
    <col min="6107" max="6107" width="1.5703125" style="119" customWidth="1"/>
    <col min="6108" max="6108" width="10" style="119" customWidth="1"/>
    <col min="6109" max="6109" width="1.5703125" style="119" customWidth="1"/>
    <col min="6110" max="6110" width="10" style="119" customWidth="1"/>
    <col min="6111" max="6111" width="1.5703125" style="119" customWidth="1"/>
    <col min="6112" max="6355" width="8.85546875" style="119"/>
    <col min="6356" max="6356" width="23.7109375" style="119" bestFit="1" customWidth="1"/>
    <col min="6357" max="6357" width="1.7109375" style="119" customWidth="1"/>
    <col min="6358" max="6358" width="13" style="119" customWidth="1"/>
    <col min="6359" max="6359" width="1.7109375" style="119" customWidth="1"/>
    <col min="6360" max="6360" width="8.85546875" style="119" customWidth="1"/>
    <col min="6361" max="6361" width="1.7109375" style="119" customWidth="1"/>
    <col min="6362" max="6362" width="10" style="119" customWidth="1"/>
    <col min="6363" max="6363" width="1.5703125" style="119" customWidth="1"/>
    <col min="6364" max="6364" width="10" style="119" customWidth="1"/>
    <col min="6365" max="6365" width="1.5703125" style="119" customWidth="1"/>
    <col min="6366" max="6366" width="10" style="119" customWidth="1"/>
    <col min="6367" max="6367" width="1.5703125" style="119" customWidth="1"/>
    <col min="6368" max="6611" width="8.85546875" style="119"/>
    <col min="6612" max="6612" width="23.7109375" style="119" bestFit="1" customWidth="1"/>
    <col min="6613" max="6613" width="1.7109375" style="119" customWidth="1"/>
    <col min="6614" max="6614" width="13" style="119" customWidth="1"/>
    <col min="6615" max="6615" width="1.7109375" style="119" customWidth="1"/>
    <col min="6616" max="6616" width="8.85546875" style="119" customWidth="1"/>
    <col min="6617" max="6617" width="1.7109375" style="119" customWidth="1"/>
    <col min="6618" max="6618" width="10" style="119" customWidth="1"/>
    <col min="6619" max="6619" width="1.5703125" style="119" customWidth="1"/>
    <col min="6620" max="6620" width="10" style="119" customWidth="1"/>
    <col min="6621" max="6621" width="1.5703125" style="119" customWidth="1"/>
    <col min="6622" max="6622" width="10" style="119" customWidth="1"/>
    <col min="6623" max="6623" width="1.5703125" style="119" customWidth="1"/>
    <col min="6624" max="6867" width="8.85546875" style="119"/>
    <col min="6868" max="6868" width="23.7109375" style="119" bestFit="1" customWidth="1"/>
    <col min="6869" max="6869" width="1.7109375" style="119" customWidth="1"/>
    <col min="6870" max="6870" width="13" style="119" customWidth="1"/>
    <col min="6871" max="6871" width="1.7109375" style="119" customWidth="1"/>
    <col min="6872" max="6872" width="8.85546875" style="119" customWidth="1"/>
    <col min="6873" max="6873" width="1.7109375" style="119" customWidth="1"/>
    <col min="6874" max="6874" width="10" style="119" customWidth="1"/>
    <col min="6875" max="6875" width="1.5703125" style="119" customWidth="1"/>
    <col min="6876" max="6876" width="10" style="119" customWidth="1"/>
    <col min="6877" max="6877" width="1.5703125" style="119" customWidth="1"/>
    <col min="6878" max="6878" width="10" style="119" customWidth="1"/>
    <col min="6879" max="6879" width="1.5703125" style="119" customWidth="1"/>
    <col min="6880" max="7123" width="8.85546875" style="119"/>
    <col min="7124" max="7124" width="23.7109375" style="119" bestFit="1" customWidth="1"/>
    <col min="7125" max="7125" width="1.7109375" style="119" customWidth="1"/>
    <col min="7126" max="7126" width="13" style="119" customWidth="1"/>
    <col min="7127" max="7127" width="1.7109375" style="119" customWidth="1"/>
    <col min="7128" max="7128" width="8.85546875" style="119" customWidth="1"/>
    <col min="7129" max="7129" width="1.7109375" style="119" customWidth="1"/>
    <col min="7130" max="7130" width="10" style="119" customWidth="1"/>
    <col min="7131" max="7131" width="1.5703125" style="119" customWidth="1"/>
    <col min="7132" max="7132" width="10" style="119" customWidth="1"/>
    <col min="7133" max="7133" width="1.5703125" style="119" customWidth="1"/>
    <col min="7134" max="7134" width="10" style="119" customWidth="1"/>
    <col min="7135" max="7135" width="1.5703125" style="119" customWidth="1"/>
    <col min="7136" max="7379" width="8.85546875" style="119"/>
    <col min="7380" max="7380" width="23.7109375" style="119" bestFit="1" customWidth="1"/>
    <col min="7381" max="7381" width="1.7109375" style="119" customWidth="1"/>
    <col min="7382" max="7382" width="13" style="119" customWidth="1"/>
    <col min="7383" max="7383" width="1.7109375" style="119" customWidth="1"/>
    <col min="7384" max="7384" width="8.85546875" style="119" customWidth="1"/>
    <col min="7385" max="7385" width="1.7109375" style="119" customWidth="1"/>
    <col min="7386" max="7386" width="10" style="119" customWidth="1"/>
    <col min="7387" max="7387" width="1.5703125" style="119" customWidth="1"/>
    <col min="7388" max="7388" width="10" style="119" customWidth="1"/>
    <col min="7389" max="7389" width="1.5703125" style="119" customWidth="1"/>
    <col min="7390" max="7390" width="10" style="119" customWidth="1"/>
    <col min="7391" max="7391" width="1.5703125" style="119" customWidth="1"/>
    <col min="7392" max="7635" width="8.85546875" style="119"/>
    <col min="7636" max="7636" width="23.7109375" style="119" bestFit="1" customWidth="1"/>
    <col min="7637" max="7637" width="1.7109375" style="119" customWidth="1"/>
    <col min="7638" max="7638" width="13" style="119" customWidth="1"/>
    <col min="7639" max="7639" width="1.7109375" style="119" customWidth="1"/>
    <col min="7640" max="7640" width="8.85546875" style="119" customWidth="1"/>
    <col min="7641" max="7641" width="1.7109375" style="119" customWidth="1"/>
    <col min="7642" max="7642" width="10" style="119" customWidth="1"/>
    <col min="7643" max="7643" width="1.5703125" style="119" customWidth="1"/>
    <col min="7644" max="7644" width="10" style="119" customWidth="1"/>
    <col min="7645" max="7645" width="1.5703125" style="119" customWidth="1"/>
    <col min="7646" max="7646" width="10" style="119" customWidth="1"/>
    <col min="7647" max="7647" width="1.5703125" style="119" customWidth="1"/>
    <col min="7648" max="7891" width="8.85546875" style="119"/>
    <col min="7892" max="7892" width="23.7109375" style="119" bestFit="1" customWidth="1"/>
    <col min="7893" max="7893" width="1.7109375" style="119" customWidth="1"/>
    <col min="7894" max="7894" width="13" style="119" customWidth="1"/>
    <col min="7895" max="7895" width="1.7109375" style="119" customWidth="1"/>
    <col min="7896" max="7896" width="8.85546875" style="119" customWidth="1"/>
    <col min="7897" max="7897" width="1.7109375" style="119" customWidth="1"/>
    <col min="7898" max="7898" width="10" style="119" customWidth="1"/>
    <col min="7899" max="7899" width="1.5703125" style="119" customWidth="1"/>
    <col min="7900" max="7900" width="10" style="119" customWidth="1"/>
    <col min="7901" max="7901" width="1.5703125" style="119" customWidth="1"/>
    <col min="7902" max="7902" width="10" style="119" customWidth="1"/>
    <col min="7903" max="7903" width="1.5703125" style="119" customWidth="1"/>
    <col min="7904" max="8147" width="8.85546875" style="119"/>
    <col min="8148" max="8148" width="23.7109375" style="119" bestFit="1" customWidth="1"/>
    <col min="8149" max="8149" width="1.7109375" style="119" customWidth="1"/>
    <col min="8150" max="8150" width="13" style="119" customWidth="1"/>
    <col min="8151" max="8151" width="1.7109375" style="119" customWidth="1"/>
    <col min="8152" max="8152" width="8.85546875" style="119" customWidth="1"/>
    <col min="8153" max="8153" width="1.7109375" style="119" customWidth="1"/>
    <col min="8154" max="8154" width="10" style="119" customWidth="1"/>
    <col min="8155" max="8155" width="1.5703125" style="119" customWidth="1"/>
    <col min="8156" max="8156" width="10" style="119" customWidth="1"/>
    <col min="8157" max="8157" width="1.5703125" style="119" customWidth="1"/>
    <col min="8158" max="8158" width="10" style="119" customWidth="1"/>
    <col min="8159" max="8159" width="1.5703125" style="119" customWidth="1"/>
    <col min="8160" max="8403" width="8.85546875" style="119"/>
    <col min="8404" max="8404" width="23.7109375" style="119" bestFit="1" customWidth="1"/>
    <col min="8405" max="8405" width="1.7109375" style="119" customWidth="1"/>
    <col min="8406" max="8406" width="13" style="119" customWidth="1"/>
    <col min="8407" max="8407" width="1.7109375" style="119" customWidth="1"/>
    <col min="8408" max="8408" width="8.85546875" style="119" customWidth="1"/>
    <col min="8409" max="8409" width="1.7109375" style="119" customWidth="1"/>
    <col min="8410" max="8410" width="10" style="119" customWidth="1"/>
    <col min="8411" max="8411" width="1.5703125" style="119" customWidth="1"/>
    <col min="8412" max="8412" width="10" style="119" customWidth="1"/>
    <col min="8413" max="8413" width="1.5703125" style="119" customWidth="1"/>
    <col min="8414" max="8414" width="10" style="119" customWidth="1"/>
    <col min="8415" max="8415" width="1.5703125" style="119" customWidth="1"/>
    <col min="8416" max="8659" width="8.85546875" style="119"/>
    <col min="8660" max="8660" width="23.7109375" style="119" bestFit="1" customWidth="1"/>
    <col min="8661" max="8661" width="1.7109375" style="119" customWidth="1"/>
    <col min="8662" max="8662" width="13" style="119" customWidth="1"/>
    <col min="8663" max="8663" width="1.7109375" style="119" customWidth="1"/>
    <col min="8664" max="8664" width="8.85546875" style="119" customWidth="1"/>
    <col min="8665" max="8665" width="1.7109375" style="119" customWidth="1"/>
    <col min="8666" max="8666" width="10" style="119" customWidth="1"/>
    <col min="8667" max="8667" width="1.5703125" style="119" customWidth="1"/>
    <col min="8668" max="8668" width="10" style="119" customWidth="1"/>
    <col min="8669" max="8669" width="1.5703125" style="119" customWidth="1"/>
    <col min="8670" max="8670" width="10" style="119" customWidth="1"/>
    <col min="8671" max="8671" width="1.5703125" style="119" customWidth="1"/>
    <col min="8672" max="8915" width="8.85546875" style="119"/>
    <col min="8916" max="8916" width="23.7109375" style="119" bestFit="1" customWidth="1"/>
    <col min="8917" max="8917" width="1.7109375" style="119" customWidth="1"/>
    <col min="8918" max="8918" width="13" style="119" customWidth="1"/>
    <col min="8919" max="8919" width="1.7109375" style="119" customWidth="1"/>
    <col min="8920" max="8920" width="8.85546875" style="119" customWidth="1"/>
    <col min="8921" max="8921" width="1.7109375" style="119" customWidth="1"/>
    <col min="8922" max="8922" width="10" style="119" customWidth="1"/>
    <col min="8923" max="8923" width="1.5703125" style="119" customWidth="1"/>
    <col min="8924" max="8924" width="10" style="119" customWidth="1"/>
    <col min="8925" max="8925" width="1.5703125" style="119" customWidth="1"/>
    <col min="8926" max="8926" width="10" style="119" customWidth="1"/>
    <col min="8927" max="8927" width="1.5703125" style="119" customWidth="1"/>
    <col min="8928" max="9171" width="8.85546875" style="119"/>
    <col min="9172" max="9172" width="23.7109375" style="119" bestFit="1" customWidth="1"/>
    <col min="9173" max="9173" width="1.7109375" style="119" customWidth="1"/>
    <col min="9174" max="9174" width="13" style="119" customWidth="1"/>
    <col min="9175" max="9175" width="1.7109375" style="119" customWidth="1"/>
    <col min="9176" max="9176" width="8.85546875" style="119" customWidth="1"/>
    <col min="9177" max="9177" width="1.7109375" style="119" customWidth="1"/>
    <col min="9178" max="9178" width="10" style="119" customWidth="1"/>
    <col min="9179" max="9179" width="1.5703125" style="119" customWidth="1"/>
    <col min="9180" max="9180" width="10" style="119" customWidth="1"/>
    <col min="9181" max="9181" width="1.5703125" style="119" customWidth="1"/>
    <col min="9182" max="9182" width="10" style="119" customWidth="1"/>
    <col min="9183" max="9183" width="1.5703125" style="119" customWidth="1"/>
    <col min="9184" max="9427" width="8.85546875" style="119"/>
    <col min="9428" max="9428" width="23.7109375" style="119" bestFit="1" customWidth="1"/>
    <col min="9429" max="9429" width="1.7109375" style="119" customWidth="1"/>
    <col min="9430" max="9430" width="13" style="119" customWidth="1"/>
    <col min="9431" max="9431" width="1.7109375" style="119" customWidth="1"/>
    <col min="9432" max="9432" width="8.85546875" style="119" customWidth="1"/>
    <col min="9433" max="9433" width="1.7109375" style="119" customWidth="1"/>
    <col min="9434" max="9434" width="10" style="119" customWidth="1"/>
    <col min="9435" max="9435" width="1.5703125" style="119" customWidth="1"/>
    <col min="9436" max="9436" width="10" style="119" customWidth="1"/>
    <col min="9437" max="9437" width="1.5703125" style="119" customWidth="1"/>
    <col min="9438" max="9438" width="10" style="119" customWidth="1"/>
    <col min="9439" max="9439" width="1.5703125" style="119" customWidth="1"/>
    <col min="9440" max="9683" width="8.85546875" style="119"/>
    <col min="9684" max="9684" width="23.7109375" style="119" bestFit="1" customWidth="1"/>
    <col min="9685" max="9685" width="1.7109375" style="119" customWidth="1"/>
    <col min="9686" max="9686" width="13" style="119" customWidth="1"/>
    <col min="9687" max="9687" width="1.7109375" style="119" customWidth="1"/>
    <col min="9688" max="9688" width="8.85546875" style="119" customWidth="1"/>
    <col min="9689" max="9689" width="1.7109375" style="119" customWidth="1"/>
    <col min="9690" max="9690" width="10" style="119" customWidth="1"/>
    <col min="9691" max="9691" width="1.5703125" style="119" customWidth="1"/>
    <col min="9692" max="9692" width="10" style="119" customWidth="1"/>
    <col min="9693" max="9693" width="1.5703125" style="119" customWidth="1"/>
    <col min="9694" max="9694" width="10" style="119" customWidth="1"/>
    <col min="9695" max="9695" width="1.5703125" style="119" customWidth="1"/>
    <col min="9696" max="9939" width="8.85546875" style="119"/>
    <col min="9940" max="9940" width="23.7109375" style="119" bestFit="1" customWidth="1"/>
    <col min="9941" max="9941" width="1.7109375" style="119" customWidth="1"/>
    <col min="9942" max="9942" width="13" style="119" customWidth="1"/>
    <col min="9943" max="9943" width="1.7109375" style="119" customWidth="1"/>
    <col min="9944" max="9944" width="8.85546875" style="119" customWidth="1"/>
    <col min="9945" max="9945" width="1.7109375" style="119" customWidth="1"/>
    <col min="9946" max="9946" width="10" style="119" customWidth="1"/>
    <col min="9947" max="9947" width="1.5703125" style="119" customWidth="1"/>
    <col min="9948" max="9948" width="10" style="119" customWidth="1"/>
    <col min="9949" max="9949" width="1.5703125" style="119" customWidth="1"/>
    <col min="9950" max="9950" width="10" style="119" customWidth="1"/>
    <col min="9951" max="9951" width="1.5703125" style="119" customWidth="1"/>
    <col min="9952" max="10195" width="8.85546875" style="119"/>
    <col min="10196" max="10196" width="23.7109375" style="119" bestFit="1" customWidth="1"/>
    <col min="10197" max="10197" width="1.7109375" style="119" customWidth="1"/>
    <col min="10198" max="10198" width="13" style="119" customWidth="1"/>
    <col min="10199" max="10199" width="1.7109375" style="119" customWidth="1"/>
    <col min="10200" max="10200" width="8.85546875" style="119" customWidth="1"/>
    <col min="10201" max="10201" width="1.7109375" style="119" customWidth="1"/>
    <col min="10202" max="10202" width="10" style="119" customWidth="1"/>
    <col min="10203" max="10203" width="1.5703125" style="119" customWidth="1"/>
    <col min="10204" max="10204" width="10" style="119" customWidth="1"/>
    <col min="10205" max="10205" width="1.5703125" style="119" customWidth="1"/>
    <col min="10206" max="10206" width="10" style="119" customWidth="1"/>
    <col min="10207" max="10207" width="1.5703125" style="119" customWidth="1"/>
    <col min="10208" max="10451" width="8.85546875" style="119"/>
    <col min="10452" max="10452" width="23.7109375" style="119" bestFit="1" customWidth="1"/>
    <col min="10453" max="10453" width="1.7109375" style="119" customWidth="1"/>
    <col min="10454" max="10454" width="13" style="119" customWidth="1"/>
    <col min="10455" max="10455" width="1.7109375" style="119" customWidth="1"/>
    <col min="10456" max="10456" width="8.85546875" style="119" customWidth="1"/>
    <col min="10457" max="10457" width="1.7109375" style="119" customWidth="1"/>
    <col min="10458" max="10458" width="10" style="119" customWidth="1"/>
    <col min="10459" max="10459" width="1.5703125" style="119" customWidth="1"/>
    <col min="10460" max="10460" width="10" style="119" customWidth="1"/>
    <col min="10461" max="10461" width="1.5703125" style="119" customWidth="1"/>
    <col min="10462" max="10462" width="10" style="119" customWidth="1"/>
    <col min="10463" max="10463" width="1.5703125" style="119" customWidth="1"/>
    <col min="10464" max="10707" width="8.85546875" style="119"/>
    <col min="10708" max="10708" width="23.7109375" style="119" bestFit="1" customWidth="1"/>
    <col min="10709" max="10709" width="1.7109375" style="119" customWidth="1"/>
    <col min="10710" max="10710" width="13" style="119" customWidth="1"/>
    <col min="10711" max="10711" width="1.7109375" style="119" customWidth="1"/>
    <col min="10712" max="10712" width="8.85546875" style="119" customWidth="1"/>
    <col min="10713" max="10713" width="1.7109375" style="119" customWidth="1"/>
    <col min="10714" max="10714" width="10" style="119" customWidth="1"/>
    <col min="10715" max="10715" width="1.5703125" style="119" customWidth="1"/>
    <col min="10716" max="10716" width="10" style="119" customWidth="1"/>
    <col min="10717" max="10717" width="1.5703125" style="119" customWidth="1"/>
    <col min="10718" max="10718" width="10" style="119" customWidth="1"/>
    <col min="10719" max="10719" width="1.5703125" style="119" customWidth="1"/>
    <col min="10720" max="10963" width="8.85546875" style="119"/>
    <col min="10964" max="10964" width="23.7109375" style="119" bestFit="1" customWidth="1"/>
    <col min="10965" max="10965" width="1.7109375" style="119" customWidth="1"/>
    <col min="10966" max="10966" width="13" style="119" customWidth="1"/>
    <col min="10967" max="10967" width="1.7109375" style="119" customWidth="1"/>
    <col min="10968" max="10968" width="8.85546875" style="119" customWidth="1"/>
    <col min="10969" max="10969" width="1.7109375" style="119" customWidth="1"/>
    <col min="10970" max="10970" width="10" style="119" customWidth="1"/>
    <col min="10971" max="10971" width="1.5703125" style="119" customWidth="1"/>
    <col min="10972" max="10972" width="10" style="119" customWidth="1"/>
    <col min="10973" max="10973" width="1.5703125" style="119" customWidth="1"/>
    <col min="10974" max="10974" width="10" style="119" customWidth="1"/>
    <col min="10975" max="10975" width="1.5703125" style="119" customWidth="1"/>
    <col min="10976" max="11219" width="8.85546875" style="119"/>
    <col min="11220" max="11220" width="23.7109375" style="119" bestFit="1" customWidth="1"/>
    <col min="11221" max="11221" width="1.7109375" style="119" customWidth="1"/>
    <col min="11222" max="11222" width="13" style="119" customWidth="1"/>
    <col min="11223" max="11223" width="1.7109375" style="119" customWidth="1"/>
    <col min="11224" max="11224" width="8.85546875" style="119" customWidth="1"/>
    <col min="11225" max="11225" width="1.7109375" style="119" customWidth="1"/>
    <col min="11226" max="11226" width="10" style="119" customWidth="1"/>
    <col min="11227" max="11227" width="1.5703125" style="119" customWidth="1"/>
    <col min="11228" max="11228" width="10" style="119" customWidth="1"/>
    <col min="11229" max="11229" width="1.5703125" style="119" customWidth="1"/>
    <col min="11230" max="11230" width="10" style="119" customWidth="1"/>
    <col min="11231" max="11231" width="1.5703125" style="119" customWidth="1"/>
    <col min="11232" max="11475" width="8.85546875" style="119"/>
    <col min="11476" max="11476" width="23.7109375" style="119" bestFit="1" customWidth="1"/>
    <col min="11477" max="11477" width="1.7109375" style="119" customWidth="1"/>
    <col min="11478" max="11478" width="13" style="119" customWidth="1"/>
    <col min="11479" max="11479" width="1.7109375" style="119" customWidth="1"/>
    <col min="11480" max="11480" width="8.85546875" style="119" customWidth="1"/>
    <col min="11481" max="11481" width="1.7109375" style="119" customWidth="1"/>
    <col min="11482" max="11482" width="10" style="119" customWidth="1"/>
    <col min="11483" max="11483" width="1.5703125" style="119" customWidth="1"/>
    <col min="11484" max="11484" width="10" style="119" customWidth="1"/>
    <col min="11485" max="11485" width="1.5703125" style="119" customWidth="1"/>
    <col min="11486" max="11486" width="10" style="119" customWidth="1"/>
    <col min="11487" max="11487" width="1.5703125" style="119" customWidth="1"/>
    <col min="11488" max="11731" width="8.85546875" style="119"/>
    <col min="11732" max="11732" width="23.7109375" style="119" bestFit="1" customWidth="1"/>
    <col min="11733" max="11733" width="1.7109375" style="119" customWidth="1"/>
    <col min="11734" max="11734" width="13" style="119" customWidth="1"/>
    <col min="11735" max="11735" width="1.7109375" style="119" customWidth="1"/>
    <col min="11736" max="11736" width="8.85546875" style="119" customWidth="1"/>
    <col min="11737" max="11737" width="1.7109375" style="119" customWidth="1"/>
    <col min="11738" max="11738" width="10" style="119" customWidth="1"/>
    <col min="11739" max="11739" width="1.5703125" style="119" customWidth="1"/>
    <col min="11740" max="11740" width="10" style="119" customWidth="1"/>
    <col min="11741" max="11741" width="1.5703125" style="119" customWidth="1"/>
    <col min="11742" max="11742" width="10" style="119" customWidth="1"/>
    <col min="11743" max="11743" width="1.5703125" style="119" customWidth="1"/>
    <col min="11744" max="11987" width="8.85546875" style="119"/>
    <col min="11988" max="11988" width="23.7109375" style="119" bestFit="1" customWidth="1"/>
    <col min="11989" max="11989" width="1.7109375" style="119" customWidth="1"/>
    <col min="11990" max="11990" width="13" style="119" customWidth="1"/>
    <col min="11991" max="11991" width="1.7109375" style="119" customWidth="1"/>
    <col min="11992" max="11992" width="8.85546875" style="119" customWidth="1"/>
    <col min="11993" max="11993" width="1.7109375" style="119" customWidth="1"/>
    <col min="11994" max="11994" width="10" style="119" customWidth="1"/>
    <col min="11995" max="11995" width="1.5703125" style="119" customWidth="1"/>
    <col min="11996" max="11996" width="10" style="119" customWidth="1"/>
    <col min="11997" max="11997" width="1.5703125" style="119" customWidth="1"/>
    <col min="11998" max="11998" width="10" style="119" customWidth="1"/>
    <col min="11999" max="11999" width="1.5703125" style="119" customWidth="1"/>
    <col min="12000" max="12243" width="8.85546875" style="119"/>
    <col min="12244" max="12244" width="23.7109375" style="119" bestFit="1" customWidth="1"/>
    <col min="12245" max="12245" width="1.7109375" style="119" customWidth="1"/>
    <col min="12246" max="12246" width="13" style="119" customWidth="1"/>
    <col min="12247" max="12247" width="1.7109375" style="119" customWidth="1"/>
    <col min="12248" max="12248" width="8.85546875" style="119" customWidth="1"/>
    <col min="12249" max="12249" width="1.7109375" style="119" customWidth="1"/>
    <col min="12250" max="12250" width="10" style="119" customWidth="1"/>
    <col min="12251" max="12251" width="1.5703125" style="119" customWidth="1"/>
    <col min="12252" max="12252" width="10" style="119" customWidth="1"/>
    <col min="12253" max="12253" width="1.5703125" style="119" customWidth="1"/>
    <col min="12254" max="12254" width="10" style="119" customWidth="1"/>
    <col min="12255" max="12255" width="1.5703125" style="119" customWidth="1"/>
    <col min="12256" max="12499" width="8.85546875" style="119"/>
    <col min="12500" max="12500" width="23.7109375" style="119" bestFit="1" customWidth="1"/>
    <col min="12501" max="12501" width="1.7109375" style="119" customWidth="1"/>
    <col min="12502" max="12502" width="13" style="119" customWidth="1"/>
    <col min="12503" max="12503" width="1.7109375" style="119" customWidth="1"/>
    <col min="12504" max="12504" width="8.85546875" style="119" customWidth="1"/>
    <col min="12505" max="12505" width="1.7109375" style="119" customWidth="1"/>
    <col min="12506" max="12506" width="10" style="119" customWidth="1"/>
    <col min="12507" max="12507" width="1.5703125" style="119" customWidth="1"/>
    <col min="12508" max="12508" width="10" style="119" customWidth="1"/>
    <col min="12509" max="12509" width="1.5703125" style="119" customWidth="1"/>
    <col min="12510" max="12510" width="10" style="119" customWidth="1"/>
    <col min="12511" max="12511" width="1.5703125" style="119" customWidth="1"/>
    <col min="12512" max="12755" width="8.85546875" style="119"/>
    <col min="12756" max="12756" width="23.7109375" style="119" bestFit="1" customWidth="1"/>
    <col min="12757" max="12757" width="1.7109375" style="119" customWidth="1"/>
    <col min="12758" max="12758" width="13" style="119" customWidth="1"/>
    <col min="12759" max="12759" width="1.7109375" style="119" customWidth="1"/>
    <col min="12760" max="12760" width="8.85546875" style="119" customWidth="1"/>
    <col min="12761" max="12761" width="1.7109375" style="119" customWidth="1"/>
    <col min="12762" max="12762" width="10" style="119" customWidth="1"/>
    <col min="12763" max="12763" width="1.5703125" style="119" customWidth="1"/>
    <col min="12764" max="12764" width="10" style="119" customWidth="1"/>
    <col min="12765" max="12765" width="1.5703125" style="119" customWidth="1"/>
    <col min="12766" max="12766" width="10" style="119" customWidth="1"/>
    <col min="12767" max="12767" width="1.5703125" style="119" customWidth="1"/>
    <col min="12768" max="13011" width="8.85546875" style="119"/>
    <col min="13012" max="13012" width="23.7109375" style="119" bestFit="1" customWidth="1"/>
    <col min="13013" max="13013" width="1.7109375" style="119" customWidth="1"/>
    <col min="13014" max="13014" width="13" style="119" customWidth="1"/>
    <col min="13015" max="13015" width="1.7109375" style="119" customWidth="1"/>
    <col min="13016" max="13016" width="8.85546875" style="119" customWidth="1"/>
    <col min="13017" max="13017" width="1.7109375" style="119" customWidth="1"/>
    <col min="13018" max="13018" width="10" style="119" customWidth="1"/>
    <col min="13019" max="13019" width="1.5703125" style="119" customWidth="1"/>
    <col min="13020" max="13020" width="10" style="119" customWidth="1"/>
    <col min="13021" max="13021" width="1.5703125" style="119" customWidth="1"/>
    <col min="13022" max="13022" width="10" style="119" customWidth="1"/>
    <col min="13023" max="13023" width="1.5703125" style="119" customWidth="1"/>
    <col min="13024" max="13267" width="8.85546875" style="119"/>
    <col min="13268" max="13268" width="23.7109375" style="119" bestFit="1" customWidth="1"/>
    <col min="13269" max="13269" width="1.7109375" style="119" customWidth="1"/>
    <col min="13270" max="13270" width="13" style="119" customWidth="1"/>
    <col min="13271" max="13271" width="1.7109375" style="119" customWidth="1"/>
    <col min="13272" max="13272" width="8.85546875" style="119" customWidth="1"/>
    <col min="13273" max="13273" width="1.7109375" style="119" customWidth="1"/>
    <col min="13274" max="13274" width="10" style="119" customWidth="1"/>
    <col min="13275" max="13275" width="1.5703125" style="119" customWidth="1"/>
    <col min="13276" max="13276" width="10" style="119" customWidth="1"/>
    <col min="13277" max="13277" width="1.5703125" style="119" customWidth="1"/>
    <col min="13278" max="13278" width="10" style="119" customWidth="1"/>
    <col min="13279" max="13279" width="1.5703125" style="119" customWidth="1"/>
    <col min="13280" max="13523" width="8.85546875" style="119"/>
    <col min="13524" max="13524" width="23.7109375" style="119" bestFit="1" customWidth="1"/>
    <col min="13525" max="13525" width="1.7109375" style="119" customWidth="1"/>
    <col min="13526" max="13526" width="13" style="119" customWidth="1"/>
    <col min="13527" max="13527" width="1.7109375" style="119" customWidth="1"/>
    <col min="13528" max="13528" width="8.85546875" style="119" customWidth="1"/>
    <col min="13529" max="13529" width="1.7109375" style="119" customWidth="1"/>
    <col min="13530" max="13530" width="10" style="119" customWidth="1"/>
    <col min="13531" max="13531" width="1.5703125" style="119" customWidth="1"/>
    <col min="13532" max="13532" width="10" style="119" customWidth="1"/>
    <col min="13533" max="13533" width="1.5703125" style="119" customWidth="1"/>
    <col min="13534" max="13534" width="10" style="119" customWidth="1"/>
    <col min="13535" max="13535" width="1.5703125" style="119" customWidth="1"/>
    <col min="13536" max="13779" width="8.85546875" style="119"/>
    <col min="13780" max="13780" width="23.7109375" style="119" bestFit="1" customWidth="1"/>
    <col min="13781" max="13781" width="1.7109375" style="119" customWidth="1"/>
    <col min="13782" max="13782" width="13" style="119" customWidth="1"/>
    <col min="13783" max="13783" width="1.7109375" style="119" customWidth="1"/>
    <col min="13784" max="13784" width="8.85546875" style="119" customWidth="1"/>
    <col min="13785" max="13785" width="1.7109375" style="119" customWidth="1"/>
    <col min="13786" max="13786" width="10" style="119" customWidth="1"/>
    <col min="13787" max="13787" width="1.5703125" style="119" customWidth="1"/>
    <col min="13788" max="13788" width="10" style="119" customWidth="1"/>
    <col min="13789" max="13789" width="1.5703125" style="119" customWidth="1"/>
    <col min="13790" max="13790" width="10" style="119" customWidth="1"/>
    <col min="13791" max="13791" width="1.5703125" style="119" customWidth="1"/>
    <col min="13792" max="14035" width="8.85546875" style="119"/>
    <col min="14036" max="14036" width="23.7109375" style="119" bestFit="1" customWidth="1"/>
    <col min="14037" max="14037" width="1.7109375" style="119" customWidth="1"/>
    <col min="14038" max="14038" width="13" style="119" customWidth="1"/>
    <col min="14039" max="14039" width="1.7109375" style="119" customWidth="1"/>
    <col min="14040" max="14040" width="8.85546875" style="119" customWidth="1"/>
    <col min="14041" max="14041" width="1.7109375" style="119" customWidth="1"/>
    <col min="14042" max="14042" width="10" style="119" customWidth="1"/>
    <col min="14043" max="14043" width="1.5703125" style="119" customWidth="1"/>
    <col min="14044" max="14044" width="10" style="119" customWidth="1"/>
    <col min="14045" max="14045" width="1.5703125" style="119" customWidth="1"/>
    <col min="14046" max="14046" width="10" style="119" customWidth="1"/>
    <col min="14047" max="14047" width="1.5703125" style="119" customWidth="1"/>
    <col min="14048" max="14291" width="8.85546875" style="119"/>
    <col min="14292" max="14292" width="23.7109375" style="119" bestFit="1" customWidth="1"/>
    <col min="14293" max="14293" width="1.7109375" style="119" customWidth="1"/>
    <col min="14294" max="14294" width="13" style="119" customWidth="1"/>
    <col min="14295" max="14295" width="1.7109375" style="119" customWidth="1"/>
    <col min="14296" max="14296" width="8.85546875" style="119" customWidth="1"/>
    <col min="14297" max="14297" width="1.7109375" style="119" customWidth="1"/>
    <col min="14298" max="14298" width="10" style="119" customWidth="1"/>
    <col min="14299" max="14299" width="1.5703125" style="119" customWidth="1"/>
    <col min="14300" max="14300" width="10" style="119" customWidth="1"/>
    <col min="14301" max="14301" width="1.5703125" style="119" customWidth="1"/>
    <col min="14302" max="14302" width="10" style="119" customWidth="1"/>
    <col min="14303" max="14303" width="1.5703125" style="119" customWidth="1"/>
    <col min="14304" max="14547" width="8.85546875" style="119"/>
    <col min="14548" max="14548" width="23.7109375" style="119" bestFit="1" customWidth="1"/>
    <col min="14549" max="14549" width="1.7109375" style="119" customWidth="1"/>
    <col min="14550" max="14550" width="13" style="119" customWidth="1"/>
    <col min="14551" max="14551" width="1.7109375" style="119" customWidth="1"/>
    <col min="14552" max="14552" width="8.85546875" style="119" customWidth="1"/>
    <col min="14553" max="14553" width="1.7109375" style="119" customWidth="1"/>
    <col min="14554" max="14554" width="10" style="119" customWidth="1"/>
    <col min="14555" max="14555" width="1.5703125" style="119" customWidth="1"/>
    <col min="14556" max="14556" width="10" style="119" customWidth="1"/>
    <col min="14557" max="14557" width="1.5703125" style="119" customWidth="1"/>
    <col min="14558" max="14558" width="10" style="119" customWidth="1"/>
    <col min="14559" max="14559" width="1.5703125" style="119" customWidth="1"/>
    <col min="14560" max="14803" width="8.85546875" style="119"/>
    <col min="14804" max="14804" width="23.7109375" style="119" bestFit="1" customWidth="1"/>
    <col min="14805" max="14805" width="1.7109375" style="119" customWidth="1"/>
    <col min="14806" max="14806" width="13" style="119" customWidth="1"/>
    <col min="14807" max="14807" width="1.7109375" style="119" customWidth="1"/>
    <col min="14808" max="14808" width="8.85546875" style="119" customWidth="1"/>
    <col min="14809" max="14809" width="1.7109375" style="119" customWidth="1"/>
    <col min="14810" max="14810" width="10" style="119" customWidth="1"/>
    <col min="14811" max="14811" width="1.5703125" style="119" customWidth="1"/>
    <col min="14812" max="14812" width="10" style="119" customWidth="1"/>
    <col min="14813" max="14813" width="1.5703125" style="119" customWidth="1"/>
    <col min="14814" max="14814" width="10" style="119" customWidth="1"/>
    <col min="14815" max="14815" width="1.5703125" style="119" customWidth="1"/>
    <col min="14816" max="15059" width="8.85546875" style="119"/>
    <col min="15060" max="15060" width="23.7109375" style="119" bestFit="1" customWidth="1"/>
    <col min="15061" max="15061" width="1.7109375" style="119" customWidth="1"/>
    <col min="15062" max="15062" width="13" style="119" customWidth="1"/>
    <col min="15063" max="15063" width="1.7109375" style="119" customWidth="1"/>
    <col min="15064" max="15064" width="8.85546875" style="119" customWidth="1"/>
    <col min="15065" max="15065" width="1.7109375" style="119" customWidth="1"/>
    <col min="15066" max="15066" width="10" style="119" customWidth="1"/>
    <col min="15067" max="15067" width="1.5703125" style="119" customWidth="1"/>
    <col min="15068" max="15068" width="10" style="119" customWidth="1"/>
    <col min="15069" max="15069" width="1.5703125" style="119" customWidth="1"/>
    <col min="15070" max="15070" width="10" style="119" customWidth="1"/>
    <col min="15071" max="15071" width="1.5703125" style="119" customWidth="1"/>
    <col min="15072" max="15315" width="8.85546875" style="119"/>
    <col min="15316" max="15316" width="23.7109375" style="119" bestFit="1" customWidth="1"/>
    <col min="15317" max="15317" width="1.7109375" style="119" customWidth="1"/>
    <col min="15318" max="15318" width="13" style="119" customWidth="1"/>
    <col min="15319" max="15319" width="1.7109375" style="119" customWidth="1"/>
    <col min="15320" max="15320" width="8.85546875" style="119" customWidth="1"/>
    <col min="15321" max="15321" width="1.7109375" style="119" customWidth="1"/>
    <col min="15322" max="15322" width="10" style="119" customWidth="1"/>
    <col min="15323" max="15323" width="1.5703125" style="119" customWidth="1"/>
    <col min="15324" max="15324" width="10" style="119" customWidth="1"/>
    <col min="15325" max="15325" width="1.5703125" style="119" customWidth="1"/>
    <col min="15326" max="15326" width="10" style="119" customWidth="1"/>
    <col min="15327" max="15327" width="1.5703125" style="119" customWidth="1"/>
    <col min="15328" max="15571" width="8.85546875" style="119"/>
    <col min="15572" max="15572" width="23.7109375" style="119" bestFit="1" customWidth="1"/>
    <col min="15573" max="15573" width="1.7109375" style="119" customWidth="1"/>
    <col min="15574" max="15574" width="13" style="119" customWidth="1"/>
    <col min="15575" max="15575" width="1.7109375" style="119" customWidth="1"/>
    <col min="15576" max="15576" width="8.85546875" style="119" customWidth="1"/>
    <col min="15577" max="15577" width="1.7109375" style="119" customWidth="1"/>
    <col min="15578" max="15578" width="10" style="119" customWidth="1"/>
    <col min="15579" max="15579" width="1.5703125" style="119" customWidth="1"/>
    <col min="15580" max="15580" width="10" style="119" customWidth="1"/>
    <col min="15581" max="15581" width="1.5703125" style="119" customWidth="1"/>
    <col min="15582" max="15582" width="10" style="119" customWidth="1"/>
    <col min="15583" max="15583" width="1.5703125" style="119" customWidth="1"/>
    <col min="15584" max="15827" width="8.85546875" style="119"/>
    <col min="15828" max="15828" width="23.7109375" style="119" bestFit="1" customWidth="1"/>
    <col min="15829" max="15829" width="1.7109375" style="119" customWidth="1"/>
    <col min="15830" max="15830" width="13" style="119" customWidth="1"/>
    <col min="15831" max="15831" width="1.7109375" style="119" customWidth="1"/>
    <col min="15832" max="15832" width="8.85546875" style="119" customWidth="1"/>
    <col min="15833" max="15833" width="1.7109375" style="119" customWidth="1"/>
    <col min="15834" max="15834" width="10" style="119" customWidth="1"/>
    <col min="15835" max="15835" width="1.5703125" style="119" customWidth="1"/>
    <col min="15836" max="15836" width="10" style="119" customWidth="1"/>
    <col min="15837" max="15837" width="1.5703125" style="119" customWidth="1"/>
    <col min="15838" max="15838" width="10" style="119" customWidth="1"/>
    <col min="15839" max="15839" width="1.5703125" style="119" customWidth="1"/>
    <col min="15840" max="16083" width="8.85546875" style="119"/>
    <col min="16084" max="16084" width="23.7109375" style="119" bestFit="1" customWidth="1"/>
    <col min="16085" max="16085" width="1.7109375" style="119" customWidth="1"/>
    <col min="16086" max="16086" width="13" style="119" customWidth="1"/>
    <col min="16087" max="16087" width="1.7109375" style="119" customWidth="1"/>
    <col min="16088" max="16088" width="8.85546875" style="119" customWidth="1"/>
    <col min="16089" max="16089" width="1.7109375" style="119" customWidth="1"/>
    <col min="16090" max="16090" width="10" style="119" customWidth="1"/>
    <col min="16091" max="16091" width="1.5703125" style="119" customWidth="1"/>
    <col min="16092" max="16092" width="10" style="119" customWidth="1"/>
    <col min="16093" max="16093" width="1.5703125" style="119" customWidth="1"/>
    <col min="16094" max="16094" width="10" style="119" customWidth="1"/>
    <col min="16095" max="16095" width="1.5703125" style="119" customWidth="1"/>
    <col min="16096" max="16384" width="8.85546875" style="119"/>
  </cols>
  <sheetData>
    <row r="1" spans="1:12" s="94" customFormat="1" ht="11.25" customHeight="1" x14ac:dyDescent="0.25">
      <c r="A1" s="163" t="s">
        <v>179</v>
      </c>
      <c r="B1" s="164"/>
      <c r="C1" s="164"/>
      <c r="D1" s="164"/>
      <c r="E1" s="164"/>
      <c r="F1" s="164"/>
      <c r="G1" s="164"/>
      <c r="H1" s="164"/>
      <c r="I1" s="164"/>
      <c r="J1" s="164"/>
      <c r="K1" s="164"/>
      <c r="L1" s="164"/>
    </row>
    <row r="2" spans="1:12" s="94" customFormat="1" ht="12.4" customHeight="1" x14ac:dyDescent="0.25">
      <c r="A2" s="163" t="s">
        <v>180</v>
      </c>
      <c r="B2" s="164"/>
      <c r="C2" s="164"/>
      <c r="D2" s="164"/>
      <c r="E2" s="164"/>
      <c r="F2" s="164"/>
      <c r="G2" s="164"/>
      <c r="H2" s="164"/>
      <c r="I2" s="164"/>
      <c r="J2" s="164"/>
      <c r="K2" s="164"/>
      <c r="L2" s="164"/>
    </row>
    <row r="3" spans="1:12" s="94" customFormat="1" ht="11.25" customHeight="1" x14ac:dyDescent="0.25">
      <c r="A3" s="165"/>
      <c r="B3" s="165"/>
      <c r="C3" s="165"/>
      <c r="D3" s="165"/>
      <c r="E3" s="165"/>
      <c r="F3" s="165"/>
      <c r="G3" s="165"/>
      <c r="H3" s="165"/>
      <c r="I3" s="165"/>
      <c r="J3" s="165"/>
      <c r="K3" s="165"/>
      <c r="L3" s="165"/>
    </row>
    <row r="4" spans="1:12" s="94" customFormat="1" ht="11.25" customHeight="1" x14ac:dyDescent="0.25">
      <c r="A4" s="95"/>
      <c r="B4" s="95"/>
      <c r="C4" s="168" t="s">
        <v>181</v>
      </c>
      <c r="D4" s="169"/>
      <c r="E4" s="169"/>
      <c r="F4" s="132"/>
      <c r="G4" s="170"/>
      <c r="H4" s="170"/>
      <c r="I4" s="170"/>
      <c r="J4" s="170"/>
      <c r="K4" s="170"/>
      <c r="L4" s="133"/>
    </row>
    <row r="5" spans="1:12" s="94" customFormat="1" ht="11.25" customHeight="1" x14ac:dyDescent="0.25">
      <c r="A5" s="96"/>
      <c r="B5" s="96"/>
      <c r="C5" s="171" t="s">
        <v>182</v>
      </c>
      <c r="D5" s="165"/>
      <c r="E5" s="165"/>
      <c r="F5" s="130"/>
      <c r="G5" s="172" t="s">
        <v>183</v>
      </c>
      <c r="H5" s="173"/>
      <c r="I5" s="173"/>
      <c r="J5" s="173"/>
      <c r="K5" s="173"/>
      <c r="L5" s="134"/>
    </row>
    <row r="6" spans="1:12" s="94" customFormat="1" ht="11.25" customHeight="1" x14ac:dyDescent="0.25">
      <c r="A6" s="96"/>
      <c r="B6" s="96"/>
      <c r="C6" s="137" t="s">
        <v>184</v>
      </c>
      <c r="D6" s="98"/>
      <c r="E6" s="137" t="s">
        <v>185</v>
      </c>
      <c r="F6" s="97"/>
      <c r="G6" s="174" t="s">
        <v>186</v>
      </c>
      <c r="H6" s="175"/>
      <c r="I6" s="175"/>
      <c r="J6" s="175"/>
      <c r="K6" s="175"/>
      <c r="L6" s="134"/>
    </row>
    <row r="7" spans="1:12" s="94" customFormat="1" ht="11.25" customHeight="1" x14ac:dyDescent="0.25">
      <c r="A7" s="138" t="s">
        <v>171</v>
      </c>
      <c r="B7" s="99"/>
      <c r="C7" s="139" t="s">
        <v>187</v>
      </c>
      <c r="D7" s="100"/>
      <c r="E7" s="138" t="s">
        <v>188</v>
      </c>
      <c r="F7" s="101"/>
      <c r="G7" s="102">
        <v>2019</v>
      </c>
      <c r="H7" s="103"/>
      <c r="I7" s="102">
        <v>2020</v>
      </c>
      <c r="J7" s="103"/>
      <c r="K7" s="102">
        <v>2021</v>
      </c>
      <c r="L7" s="104"/>
    </row>
    <row r="8" spans="1:12" s="94" customFormat="1" ht="11.25" customHeight="1" x14ac:dyDescent="0.25">
      <c r="A8" s="140" t="s">
        <v>20</v>
      </c>
      <c r="B8" s="96"/>
      <c r="C8" s="141">
        <v>46409</v>
      </c>
      <c r="D8" s="142"/>
      <c r="E8" s="141">
        <v>16154</v>
      </c>
      <c r="F8" s="142"/>
      <c r="G8" s="143">
        <v>2.1</v>
      </c>
      <c r="H8" s="143"/>
      <c r="I8" s="143">
        <v>-3.3</v>
      </c>
      <c r="J8" s="143"/>
      <c r="K8" s="143">
        <v>8.9</v>
      </c>
      <c r="L8" s="105"/>
    </row>
    <row r="9" spans="1:12" s="94" customFormat="1" ht="11.25" customHeight="1" x14ac:dyDescent="0.25">
      <c r="A9" s="140" t="s">
        <v>22</v>
      </c>
      <c r="B9" s="96"/>
      <c r="C9" s="141">
        <v>43750</v>
      </c>
      <c r="D9" s="142"/>
      <c r="E9" s="141">
        <v>14770</v>
      </c>
      <c r="F9" s="142"/>
      <c r="G9" s="143">
        <v>7.6</v>
      </c>
      <c r="H9" s="143"/>
      <c r="I9" s="143">
        <v>-7.2</v>
      </c>
      <c r="J9" s="143"/>
      <c r="K9" s="143">
        <v>5.7</v>
      </c>
      <c r="L9" s="105"/>
    </row>
    <row r="10" spans="1:12" s="94" customFormat="1" ht="11.25" customHeight="1" x14ac:dyDescent="0.25">
      <c r="A10" s="140" t="s">
        <v>24</v>
      </c>
      <c r="B10" s="98"/>
      <c r="C10" s="141">
        <v>538059</v>
      </c>
      <c r="D10" s="142"/>
      <c r="E10" s="141">
        <v>59917</v>
      </c>
      <c r="F10" s="142"/>
      <c r="G10" s="143">
        <v>1.5</v>
      </c>
      <c r="H10" s="143"/>
      <c r="I10" s="143">
        <v>-6.5</v>
      </c>
      <c r="J10" s="143"/>
      <c r="K10" s="143">
        <v>4.5999999999999996</v>
      </c>
      <c r="L10" s="105"/>
    </row>
    <row r="11" spans="1:12" s="94" customFormat="1" ht="11.25" customHeight="1" x14ac:dyDescent="0.25">
      <c r="A11" s="140" t="s">
        <v>25</v>
      </c>
      <c r="B11" s="96"/>
      <c r="C11" s="141">
        <v>161556</v>
      </c>
      <c r="D11" s="142"/>
      <c r="E11" s="141">
        <v>15965</v>
      </c>
      <c r="F11" s="142"/>
      <c r="G11" s="143">
        <v>2.5</v>
      </c>
      <c r="H11" s="143"/>
      <c r="I11" s="143">
        <v>-4.2</v>
      </c>
      <c r="J11" s="143"/>
      <c r="K11" s="143">
        <v>5.6</v>
      </c>
      <c r="L11" s="105"/>
    </row>
    <row r="12" spans="1:12" s="94" customFormat="1" ht="11.25" customHeight="1" x14ac:dyDescent="0.25">
      <c r="A12" s="140" t="s">
        <v>26</v>
      </c>
      <c r="B12" s="96"/>
      <c r="C12" s="141">
        <v>203640</v>
      </c>
      <c r="D12" s="142"/>
      <c r="E12" s="141">
        <v>21780</v>
      </c>
      <c r="F12" s="142"/>
      <c r="G12" s="143">
        <v>1.4</v>
      </c>
      <c r="H12" s="143"/>
      <c r="I12" s="143">
        <v>-0.7</v>
      </c>
      <c r="J12" s="143"/>
      <c r="K12" s="143">
        <v>2.2999999999999998</v>
      </c>
      <c r="L12" s="105"/>
    </row>
    <row r="13" spans="1:12" s="94" customFormat="1" ht="11.25" customHeight="1" x14ac:dyDescent="0.25">
      <c r="A13" s="140" t="s">
        <v>27</v>
      </c>
      <c r="B13" s="98"/>
      <c r="C13" s="141">
        <v>665300</v>
      </c>
      <c r="D13" s="142"/>
      <c r="E13" s="141">
        <v>57578</v>
      </c>
      <c r="F13" s="142"/>
      <c r="G13" s="143">
        <v>2.2999999999999998</v>
      </c>
      <c r="H13" s="143"/>
      <c r="I13" s="143">
        <v>-5.4</v>
      </c>
      <c r="J13" s="143"/>
      <c r="K13" s="143">
        <v>6.3</v>
      </c>
      <c r="L13" s="105"/>
    </row>
    <row r="14" spans="1:12" s="94" customFormat="1" ht="11.25" customHeight="1" x14ac:dyDescent="0.25">
      <c r="A14" s="140" t="s">
        <v>28</v>
      </c>
      <c r="B14" s="96"/>
      <c r="C14" s="141">
        <v>57733</v>
      </c>
      <c r="D14" s="142"/>
      <c r="E14" s="141">
        <v>16585</v>
      </c>
      <c r="F14" s="142"/>
      <c r="G14" s="143">
        <v>2.9</v>
      </c>
      <c r="H14" s="143"/>
      <c r="I14" s="143">
        <v>-3</v>
      </c>
      <c r="J14" s="143"/>
      <c r="K14" s="143">
        <v>7.4</v>
      </c>
      <c r="L14" s="105"/>
    </row>
    <row r="15" spans="1:12" s="94" customFormat="1" ht="11.25" customHeight="1" x14ac:dyDescent="0.25">
      <c r="A15" s="140" t="s">
        <v>29</v>
      </c>
      <c r="B15" s="96"/>
      <c r="C15" s="141">
        <v>185715</v>
      </c>
      <c r="D15" s="142"/>
      <c r="E15" s="141">
        <v>27156</v>
      </c>
      <c r="F15" s="142"/>
      <c r="G15" s="143">
        <v>4</v>
      </c>
      <c r="H15" s="143"/>
      <c r="I15" s="143">
        <v>-4</v>
      </c>
      <c r="J15" s="143"/>
      <c r="K15" s="143">
        <v>7.6</v>
      </c>
      <c r="L15" s="105"/>
    </row>
    <row r="16" spans="1:12" s="94" customFormat="1" ht="11.25" customHeight="1" x14ac:dyDescent="0.25">
      <c r="A16" s="140" t="s">
        <v>30</v>
      </c>
      <c r="B16" s="96"/>
      <c r="C16" s="141">
        <v>136068</v>
      </c>
      <c r="D16" s="142"/>
      <c r="E16" s="141">
        <v>35078</v>
      </c>
      <c r="F16" s="142"/>
      <c r="G16" s="143">
        <v>3.4</v>
      </c>
      <c r="H16" s="143"/>
      <c r="I16" s="143">
        <v>-8.5</v>
      </c>
      <c r="J16" s="143"/>
      <c r="K16" s="143">
        <v>13.1</v>
      </c>
      <c r="L16" s="105"/>
    </row>
    <row r="17" spans="1:12" s="94" customFormat="1" ht="11.25" customHeight="1" x14ac:dyDescent="0.25">
      <c r="A17" s="140" t="s">
        <v>31</v>
      </c>
      <c r="B17" s="98"/>
      <c r="C17" s="141">
        <v>41440</v>
      </c>
      <c r="D17" s="142"/>
      <c r="E17" s="141">
        <v>46249</v>
      </c>
      <c r="F17" s="142"/>
      <c r="G17" s="143">
        <v>5.5</v>
      </c>
      <c r="H17" s="143"/>
      <c r="I17" s="143">
        <v>-4.4000000000000004</v>
      </c>
      <c r="J17" s="143"/>
      <c r="K17" s="143">
        <v>6.6</v>
      </c>
      <c r="L17" s="105"/>
    </row>
    <row r="18" spans="1:12" s="94" customFormat="1" ht="11.25" customHeight="1" x14ac:dyDescent="0.25">
      <c r="A18" s="140" t="s">
        <v>32</v>
      </c>
      <c r="B18" s="96"/>
      <c r="C18" s="141">
        <v>474141</v>
      </c>
      <c r="D18" s="142"/>
      <c r="E18" s="141">
        <v>45085</v>
      </c>
      <c r="F18" s="142"/>
      <c r="G18" s="143">
        <v>3</v>
      </c>
      <c r="H18" s="143"/>
      <c r="I18" s="143">
        <v>-5.5</v>
      </c>
      <c r="J18" s="143"/>
      <c r="K18" s="143">
        <v>3.6</v>
      </c>
      <c r="L18" s="105"/>
    </row>
    <row r="19" spans="1:12" s="94" customFormat="1" ht="11.25" customHeight="1" x14ac:dyDescent="0.25">
      <c r="A19" s="140" t="s">
        <v>206</v>
      </c>
      <c r="B19" s="98"/>
      <c r="C19" s="141">
        <v>381128</v>
      </c>
      <c r="D19" s="142"/>
      <c r="E19" s="141">
        <v>65261</v>
      </c>
      <c r="F19" s="142"/>
      <c r="G19" s="143">
        <v>1.5</v>
      </c>
      <c r="H19" s="143"/>
      <c r="I19" s="143">
        <v>-2.4</v>
      </c>
      <c r="J19" s="143"/>
      <c r="K19" s="143">
        <v>6.8</v>
      </c>
      <c r="L19" s="105"/>
    </row>
    <row r="20" spans="1:12" s="94" customFormat="1" ht="11.25" customHeight="1" x14ac:dyDescent="0.25">
      <c r="A20" s="140" t="s">
        <v>34</v>
      </c>
      <c r="B20" s="96"/>
      <c r="C20" s="141">
        <v>56519</v>
      </c>
      <c r="D20" s="142"/>
      <c r="E20" s="141">
        <v>42465</v>
      </c>
      <c r="F20" s="142"/>
      <c r="G20" s="143">
        <v>4</v>
      </c>
      <c r="H20" s="143"/>
      <c r="I20" s="143">
        <v>-1</v>
      </c>
      <c r="J20" s="143"/>
      <c r="K20" s="143">
        <v>7.2</v>
      </c>
      <c r="L20" s="105"/>
    </row>
    <row r="21" spans="1:12" s="94" customFormat="1" ht="11.25" customHeight="1" x14ac:dyDescent="0.25">
      <c r="A21" s="140" t="s">
        <v>35</v>
      </c>
      <c r="B21" s="96"/>
      <c r="C21" s="141">
        <v>298254</v>
      </c>
      <c r="D21" s="142"/>
      <c r="E21" s="141">
        <v>53897</v>
      </c>
      <c r="F21" s="142"/>
      <c r="G21" s="143">
        <v>1.2</v>
      </c>
      <c r="H21" s="143"/>
      <c r="I21" s="143">
        <v>-2.4</v>
      </c>
      <c r="J21" s="143"/>
      <c r="K21" s="143">
        <v>3.2</v>
      </c>
      <c r="L21" s="105"/>
    </row>
    <row r="22" spans="1:12" s="94" customFormat="1" ht="11.25" customHeight="1" x14ac:dyDescent="0.25">
      <c r="A22" s="140" t="s">
        <v>36</v>
      </c>
      <c r="B22" s="96"/>
      <c r="C22" s="141">
        <v>3369288</v>
      </c>
      <c r="D22" s="142"/>
      <c r="E22" s="141">
        <v>51479</v>
      </c>
      <c r="F22" s="142"/>
      <c r="G22" s="143">
        <v>1.9</v>
      </c>
      <c r="H22" s="143"/>
      <c r="I22" s="143">
        <v>-7.7</v>
      </c>
      <c r="J22" s="143"/>
      <c r="K22" s="143">
        <v>6.4</v>
      </c>
      <c r="L22" s="105"/>
    </row>
    <row r="23" spans="1:12" s="94" customFormat="1" ht="11.25" customHeight="1" x14ac:dyDescent="0.25">
      <c r="A23" s="140" t="s">
        <v>37</v>
      </c>
      <c r="B23" s="96"/>
      <c r="C23" s="141">
        <v>63375</v>
      </c>
      <c r="D23" s="142"/>
      <c r="E23" s="141">
        <v>16997</v>
      </c>
      <c r="F23" s="142"/>
      <c r="G23" s="143">
        <v>5</v>
      </c>
      <c r="H23" s="143"/>
      <c r="I23" s="143">
        <v>-6.8</v>
      </c>
      <c r="J23" s="143"/>
      <c r="K23" s="143">
        <v>10.5</v>
      </c>
      <c r="L23" s="105"/>
    </row>
    <row r="24" spans="1:12" s="94" customFormat="1" ht="11.25" customHeight="1" x14ac:dyDescent="0.25">
      <c r="A24" s="140" t="s">
        <v>38</v>
      </c>
      <c r="B24" s="96"/>
      <c r="C24" s="141">
        <v>4929779</v>
      </c>
      <c r="D24" s="142"/>
      <c r="E24" s="141">
        <v>59255</v>
      </c>
      <c r="F24" s="142"/>
      <c r="G24" s="143">
        <v>1.1000000000000001</v>
      </c>
      <c r="H24" s="143"/>
      <c r="I24" s="143">
        <v>-3.8</v>
      </c>
      <c r="J24" s="143"/>
      <c r="K24" s="143">
        <v>3.2</v>
      </c>
      <c r="L24" s="105"/>
    </row>
    <row r="25" spans="1:12" s="94" customFormat="1" ht="11.25" customHeight="1" x14ac:dyDescent="0.25">
      <c r="A25" s="140" t="s">
        <v>39</v>
      </c>
      <c r="B25" s="96"/>
      <c r="C25" s="141">
        <v>346337</v>
      </c>
      <c r="D25" s="142"/>
      <c r="E25" s="141">
        <v>32433</v>
      </c>
      <c r="F25" s="142"/>
      <c r="G25" s="143">
        <v>1.9</v>
      </c>
      <c r="H25" s="143"/>
      <c r="I25" s="143">
        <v>-9</v>
      </c>
      <c r="J25" s="143"/>
      <c r="K25" s="143">
        <v>8.4</v>
      </c>
      <c r="L25" s="105"/>
    </row>
    <row r="26" spans="1:12" s="94" customFormat="1" ht="11.25" customHeight="1" x14ac:dyDescent="0.25">
      <c r="A26" s="140" t="s">
        <v>40</v>
      </c>
      <c r="B26" s="96"/>
      <c r="C26" s="141">
        <v>364699</v>
      </c>
      <c r="D26" s="142"/>
      <c r="E26" s="141">
        <v>37479</v>
      </c>
      <c r="F26" s="142"/>
      <c r="G26" s="143">
        <v>4.9000000000000004</v>
      </c>
      <c r="H26" s="143"/>
      <c r="I26" s="143">
        <v>-4.5</v>
      </c>
      <c r="J26" s="143"/>
      <c r="K26" s="143">
        <v>7.2</v>
      </c>
      <c r="L26" s="105"/>
    </row>
    <row r="27" spans="1:12" s="94" customFormat="1" ht="11.25" customHeight="1" x14ac:dyDescent="0.25">
      <c r="A27" s="140" t="s">
        <v>41</v>
      </c>
      <c r="B27" s="96"/>
      <c r="C27" s="141">
        <v>22026</v>
      </c>
      <c r="D27" s="142"/>
      <c r="E27" s="141">
        <v>59724</v>
      </c>
      <c r="F27" s="142"/>
      <c r="G27" s="143">
        <v>1.9</v>
      </c>
      <c r="H27" s="143"/>
      <c r="I27" s="143">
        <v>-7.2</v>
      </c>
      <c r="J27" s="143"/>
      <c r="K27" s="143">
        <v>4.5</v>
      </c>
      <c r="L27" s="105"/>
    </row>
    <row r="28" spans="1:12" s="94" customFormat="1" ht="11.25" customHeight="1" x14ac:dyDescent="0.25">
      <c r="A28" s="140" t="s">
        <v>42</v>
      </c>
      <c r="B28" s="96"/>
      <c r="C28" s="141">
        <v>583762</v>
      </c>
      <c r="D28" s="142"/>
      <c r="E28" s="141">
        <v>115885</v>
      </c>
      <c r="F28" s="142"/>
      <c r="G28" s="143">
        <v>5.3</v>
      </c>
      <c r="H28" s="143"/>
      <c r="I28" s="143">
        <v>6.6</v>
      </c>
      <c r="J28" s="143"/>
      <c r="K28" s="143">
        <v>15.1</v>
      </c>
      <c r="L28" s="105"/>
    </row>
    <row r="29" spans="1:12" s="94" customFormat="1" ht="11.25" customHeight="1" x14ac:dyDescent="0.25">
      <c r="A29" s="140" t="s">
        <v>43</v>
      </c>
      <c r="B29" s="96"/>
      <c r="C29" s="141">
        <v>2756472</v>
      </c>
      <c r="D29" s="142"/>
      <c r="E29" s="141">
        <v>46534</v>
      </c>
      <c r="F29" s="142"/>
      <c r="G29" s="143">
        <v>0.5</v>
      </c>
      <c r="H29" s="143"/>
      <c r="I29" s="143">
        <v>-9</v>
      </c>
      <c r="J29" s="143"/>
      <c r="K29" s="143">
        <v>7</v>
      </c>
      <c r="L29" s="105"/>
    </row>
    <row r="30" spans="1:12" s="94" customFormat="1" ht="11.25" customHeight="1" x14ac:dyDescent="0.25">
      <c r="A30" s="140" t="s">
        <v>44</v>
      </c>
      <c r="B30" s="96"/>
      <c r="C30" s="141">
        <v>545838</v>
      </c>
      <c r="D30" s="142"/>
      <c r="E30" s="141">
        <v>27987</v>
      </c>
      <c r="F30" s="142"/>
      <c r="G30" s="143">
        <v>4.5</v>
      </c>
      <c r="H30" s="143"/>
      <c r="I30" s="143">
        <v>-2.6</v>
      </c>
      <c r="J30" s="143"/>
      <c r="K30" s="143">
        <v>4.0999999999999996</v>
      </c>
      <c r="L30" s="105"/>
    </row>
    <row r="31" spans="1:12" s="94" customFormat="1" ht="11.25" customHeight="1" x14ac:dyDescent="0.25">
      <c r="A31" s="140" t="s">
        <v>45</v>
      </c>
      <c r="B31" s="96"/>
      <c r="C31" s="141">
        <v>23421</v>
      </c>
      <c r="D31" s="142"/>
      <c r="E31" s="141">
        <v>13240</v>
      </c>
      <c r="F31" s="142"/>
      <c r="G31" s="143">
        <v>4.8</v>
      </c>
      <c r="H31" s="143"/>
      <c r="I31" s="143">
        <v>-5.3</v>
      </c>
      <c r="J31" s="143"/>
      <c r="K31" s="143">
        <v>10.7</v>
      </c>
      <c r="L31" s="105"/>
    </row>
    <row r="32" spans="1:12" s="94" customFormat="1" ht="11.25" customHeight="1" x14ac:dyDescent="0.25">
      <c r="A32" s="140" t="s">
        <v>46</v>
      </c>
      <c r="B32" s="96"/>
      <c r="C32" s="141">
        <v>36593</v>
      </c>
      <c r="D32" s="142"/>
      <c r="E32" s="141">
        <v>5499</v>
      </c>
      <c r="F32" s="142"/>
      <c r="G32" s="143">
        <v>4.5999999999999996</v>
      </c>
      <c r="H32" s="143"/>
      <c r="I32" s="143">
        <v>-7.1</v>
      </c>
      <c r="J32" s="143"/>
      <c r="K32" s="143">
        <v>5.5</v>
      </c>
      <c r="L32" s="105"/>
    </row>
    <row r="33" spans="1:12" s="94" customFormat="1" ht="11.25" customHeight="1" x14ac:dyDescent="0.25">
      <c r="A33" s="140" t="s">
        <v>47</v>
      </c>
      <c r="B33" s="96"/>
      <c r="C33" s="141">
        <v>66812</v>
      </c>
      <c r="D33" s="142"/>
      <c r="E33" s="141">
        <v>35290</v>
      </c>
      <c r="F33" s="142"/>
      <c r="G33" s="143">
        <v>2.6</v>
      </c>
      <c r="H33" s="143"/>
      <c r="I33" s="143">
        <v>-2.2999999999999998</v>
      </c>
      <c r="J33" s="143"/>
      <c r="K33" s="143">
        <v>4.3</v>
      </c>
      <c r="L33" s="105"/>
    </row>
    <row r="34" spans="1:12" s="94" customFormat="1" ht="11.25" customHeight="1" x14ac:dyDescent="0.25">
      <c r="A34" s="140" t="s">
        <v>48</v>
      </c>
      <c r="B34" s="96"/>
      <c r="C34" s="141">
        <v>121709</v>
      </c>
      <c r="D34" s="142"/>
      <c r="E34" s="141">
        <v>43455</v>
      </c>
      <c r="F34" s="142"/>
      <c r="G34" s="143">
        <v>4.5999999999999996</v>
      </c>
      <c r="H34" s="143"/>
      <c r="I34" s="143">
        <v>0</v>
      </c>
      <c r="J34" s="143"/>
      <c r="K34" s="143">
        <v>6</v>
      </c>
      <c r="L34" s="105"/>
    </row>
    <row r="35" spans="1:12" s="94" customFormat="1" ht="11.25" customHeight="1" x14ac:dyDescent="0.25">
      <c r="A35" s="140" t="s">
        <v>49</v>
      </c>
      <c r="B35" s="96"/>
      <c r="C35" s="141">
        <v>84084</v>
      </c>
      <c r="D35" s="142"/>
      <c r="E35" s="141">
        <v>132472</v>
      </c>
      <c r="F35" s="142"/>
      <c r="G35" s="143">
        <v>2.9</v>
      </c>
      <c r="H35" s="143"/>
      <c r="I35" s="143">
        <v>-0.9</v>
      </c>
      <c r="J35" s="143"/>
      <c r="K35" s="143">
        <v>7.2</v>
      </c>
      <c r="L35" s="105"/>
    </row>
    <row r="36" spans="1:12" s="94" customFormat="1" ht="11.25" customHeight="1" x14ac:dyDescent="0.25">
      <c r="A36" s="140" t="s">
        <v>50</v>
      </c>
      <c r="B36" s="96"/>
      <c r="C36" s="141">
        <v>27053</v>
      </c>
      <c r="D36" s="142"/>
      <c r="E36" s="141">
        <v>52418</v>
      </c>
      <c r="F36" s="142"/>
      <c r="G36" s="143">
        <v>7.1</v>
      </c>
      <c r="H36" s="143"/>
      <c r="I36" s="143">
        <v>-8.1</v>
      </c>
      <c r="J36" s="143"/>
      <c r="K36" s="143">
        <v>12.3</v>
      </c>
      <c r="L36" s="105"/>
    </row>
    <row r="37" spans="1:12" s="94" customFormat="1" ht="11.25" customHeight="1" x14ac:dyDescent="0.25">
      <c r="A37" s="140" t="s">
        <v>51</v>
      </c>
      <c r="B37" s="96"/>
      <c r="C37" s="141">
        <v>39259</v>
      </c>
      <c r="D37" s="142"/>
      <c r="E37" s="141">
        <v>15175</v>
      </c>
      <c r="F37" s="142"/>
      <c r="G37" s="143">
        <v>3.6</v>
      </c>
      <c r="H37" s="143"/>
      <c r="I37" s="143">
        <v>-8.3000000000000007</v>
      </c>
      <c r="J37" s="143"/>
      <c r="K37" s="143">
        <v>13.9</v>
      </c>
      <c r="L37" s="105"/>
    </row>
    <row r="38" spans="1:12" s="94" customFormat="1" ht="11.25" customHeight="1" x14ac:dyDescent="0.25">
      <c r="A38" s="140" t="s">
        <v>52</v>
      </c>
      <c r="B38" s="96"/>
      <c r="C38" s="141">
        <v>14167</v>
      </c>
      <c r="D38" s="142"/>
      <c r="E38" s="141">
        <v>22787</v>
      </c>
      <c r="F38" s="142"/>
      <c r="G38" s="143">
        <v>4.0999999999999996</v>
      </c>
      <c r="H38" s="143"/>
      <c r="I38" s="143">
        <v>-15.3</v>
      </c>
      <c r="J38" s="143"/>
      <c r="K38" s="143">
        <v>13</v>
      </c>
      <c r="L38" s="105"/>
    </row>
    <row r="39" spans="1:12" s="94" customFormat="1" ht="11.25" customHeight="1" x14ac:dyDescent="0.25">
      <c r="A39" s="140" t="s">
        <v>53</v>
      </c>
      <c r="B39" s="96"/>
      <c r="C39" s="141">
        <v>1114485</v>
      </c>
      <c r="D39" s="142"/>
      <c r="E39" s="141">
        <v>63774</v>
      </c>
      <c r="F39" s="142"/>
      <c r="G39" s="143">
        <v>2</v>
      </c>
      <c r="H39" s="143"/>
      <c r="I39" s="143">
        <v>-3.9</v>
      </c>
      <c r="J39" s="143"/>
      <c r="K39" s="143">
        <v>6.2</v>
      </c>
      <c r="L39" s="105"/>
    </row>
    <row r="40" spans="1:12" s="94" customFormat="1" ht="11.25" customHeight="1" x14ac:dyDescent="0.25">
      <c r="A40" s="140" t="s">
        <v>54</v>
      </c>
      <c r="B40" s="96"/>
      <c r="C40" s="141">
        <v>37928</v>
      </c>
      <c r="D40" s="142"/>
      <c r="E40" s="141">
        <v>18363</v>
      </c>
      <c r="F40" s="142"/>
      <c r="G40" s="143">
        <v>3.9</v>
      </c>
      <c r="H40" s="143"/>
      <c r="I40" s="143">
        <v>-4.7</v>
      </c>
      <c r="J40" s="143"/>
      <c r="K40" s="143">
        <v>3.9</v>
      </c>
      <c r="L40" s="105"/>
    </row>
    <row r="41" spans="1:12" s="94" customFormat="1" ht="11.25" customHeight="1" x14ac:dyDescent="0.25">
      <c r="A41" s="140" t="s">
        <v>55</v>
      </c>
      <c r="B41" s="96"/>
      <c r="C41" s="141">
        <v>386514</v>
      </c>
      <c r="D41" s="142"/>
      <c r="E41" s="141">
        <v>71376</v>
      </c>
      <c r="F41" s="142"/>
      <c r="G41" s="143">
        <v>1.1000000000000001</v>
      </c>
      <c r="H41" s="143"/>
      <c r="I41" s="143">
        <v>-1.3</v>
      </c>
      <c r="J41" s="143"/>
      <c r="K41" s="143">
        <v>3.9</v>
      </c>
      <c r="L41" s="105"/>
    </row>
    <row r="42" spans="1:12" s="94" customFormat="1" ht="11.25" customHeight="1" x14ac:dyDescent="0.25">
      <c r="A42" s="140" t="s">
        <v>56</v>
      </c>
      <c r="B42" s="96"/>
      <c r="C42" s="141">
        <v>1460115</v>
      </c>
      <c r="D42" s="142"/>
      <c r="E42" s="141">
        <v>38587</v>
      </c>
      <c r="F42" s="142"/>
      <c r="G42" s="143">
        <v>4.5</v>
      </c>
      <c r="H42" s="143"/>
      <c r="I42" s="143">
        <v>-2</v>
      </c>
      <c r="J42" s="143"/>
      <c r="K42" s="143">
        <v>6.9</v>
      </c>
      <c r="L42" s="105"/>
    </row>
    <row r="43" spans="1:12" s="94" customFormat="1" ht="11.25" customHeight="1" x14ac:dyDescent="0.25">
      <c r="A43" s="140" t="s">
        <v>58</v>
      </c>
      <c r="B43" s="96"/>
      <c r="C43" s="141">
        <v>384217</v>
      </c>
      <c r="D43" s="142"/>
      <c r="E43" s="141">
        <v>37346</v>
      </c>
      <c r="F43" s="142"/>
      <c r="G43" s="143">
        <v>2.7</v>
      </c>
      <c r="H43" s="143"/>
      <c r="I43" s="143">
        <v>-8.3000000000000007</v>
      </c>
      <c r="J43" s="143"/>
      <c r="K43" s="143">
        <v>5.5</v>
      </c>
      <c r="L43" s="105"/>
    </row>
    <row r="44" spans="1:12" s="94" customFormat="1" ht="11.25" customHeight="1" x14ac:dyDescent="0.25">
      <c r="A44" s="140" t="s">
        <v>59</v>
      </c>
      <c r="B44" s="96"/>
      <c r="C44" s="141">
        <v>657569</v>
      </c>
      <c r="D44" s="142"/>
      <c r="E44" s="141">
        <v>34245</v>
      </c>
      <c r="F44" s="142"/>
      <c r="G44" s="143">
        <v>3.8</v>
      </c>
      <c r="H44" s="143"/>
      <c r="I44" s="143">
        <v>-3.7</v>
      </c>
      <c r="J44" s="143"/>
      <c r="K44" s="143">
        <v>5.9</v>
      </c>
      <c r="L44" s="105"/>
    </row>
    <row r="45" spans="1:12" s="94" customFormat="1" ht="11.25" customHeight="1" x14ac:dyDescent="0.25">
      <c r="A45" s="140" t="s">
        <v>60</v>
      </c>
      <c r="B45" s="96"/>
      <c r="C45" s="141">
        <v>4551782</v>
      </c>
      <c r="D45" s="142"/>
      <c r="E45" s="141">
        <v>31271</v>
      </c>
      <c r="F45" s="142"/>
      <c r="G45" s="143">
        <v>2.2000000000000002</v>
      </c>
      <c r="H45" s="143"/>
      <c r="I45" s="143">
        <v>-2.7</v>
      </c>
      <c r="J45" s="143"/>
      <c r="K45" s="143">
        <v>5.6</v>
      </c>
      <c r="L45" s="105"/>
    </row>
    <row r="46" spans="1:12" s="94" customFormat="1" ht="11.25" customHeight="1" x14ac:dyDescent="0.25">
      <c r="A46" s="140" t="s">
        <v>61</v>
      </c>
      <c r="B46" s="96"/>
      <c r="C46" s="141">
        <v>149621</v>
      </c>
      <c r="D46" s="142"/>
      <c r="E46" s="141">
        <v>21893</v>
      </c>
      <c r="F46" s="142"/>
      <c r="G46" s="143">
        <v>4.3</v>
      </c>
      <c r="H46" s="143"/>
      <c r="I46" s="143">
        <v>-0.9</v>
      </c>
      <c r="J46" s="143"/>
      <c r="K46" s="143">
        <v>7.6</v>
      </c>
      <c r="L46" s="105"/>
    </row>
    <row r="47" spans="1:12" s="94" customFormat="1" ht="11.25" customHeight="1" x14ac:dyDescent="0.25">
      <c r="A47" s="140" t="s">
        <v>63</v>
      </c>
      <c r="B47" s="96"/>
      <c r="C47" s="141">
        <v>200876</v>
      </c>
      <c r="D47" s="142"/>
      <c r="E47" s="141">
        <v>36792</v>
      </c>
      <c r="F47" s="142"/>
      <c r="G47" s="143">
        <v>2.5</v>
      </c>
      <c r="H47" s="143"/>
      <c r="I47" s="143">
        <v>-3.3</v>
      </c>
      <c r="J47" s="143"/>
      <c r="K47" s="143">
        <v>4.9000000000000004</v>
      </c>
      <c r="L47" s="105"/>
    </row>
    <row r="48" spans="1:12" s="94" customFormat="1" ht="11.25" customHeight="1" x14ac:dyDescent="0.25">
      <c r="A48" s="140" t="s">
        <v>65</v>
      </c>
      <c r="B48" s="96"/>
      <c r="C48" s="141">
        <v>93708</v>
      </c>
      <c r="D48" s="142"/>
      <c r="E48" s="141">
        <v>44433</v>
      </c>
      <c r="F48" s="142"/>
      <c r="G48" s="143">
        <v>3.5</v>
      </c>
      <c r="H48" s="143"/>
      <c r="I48" s="143">
        <v>-4.2</v>
      </c>
      <c r="J48" s="143"/>
      <c r="K48" s="143">
        <v>8.1999999999999993</v>
      </c>
      <c r="L48" s="105"/>
    </row>
    <row r="49" spans="1:12" s="94" customFormat="1" ht="11.25" customHeight="1" x14ac:dyDescent="0.25">
      <c r="A49" s="140" t="s">
        <v>66</v>
      </c>
      <c r="B49" s="136"/>
      <c r="C49" s="141">
        <v>2007190</v>
      </c>
      <c r="D49" s="142"/>
      <c r="E49" s="141">
        <v>42407</v>
      </c>
      <c r="F49" s="142"/>
      <c r="G49" s="143">
        <v>2</v>
      </c>
      <c r="H49" s="143"/>
      <c r="I49" s="143">
        <v>-11.2</v>
      </c>
      <c r="J49" s="143"/>
      <c r="K49" s="143">
        <v>6.4</v>
      </c>
      <c r="L49" s="105"/>
    </row>
    <row r="50" spans="1:12" s="94" customFormat="1" ht="11.25" customHeight="1" x14ac:dyDescent="0.25">
      <c r="A50" s="140" t="s">
        <v>67</v>
      </c>
      <c r="B50" s="135"/>
      <c r="C50" s="141">
        <v>631961</v>
      </c>
      <c r="D50" s="142"/>
      <c r="E50" s="141">
        <v>60461</v>
      </c>
      <c r="F50" s="142"/>
      <c r="G50" s="143">
        <v>2</v>
      </c>
      <c r="H50" s="143"/>
      <c r="I50" s="143">
        <v>-2.2000000000000002</v>
      </c>
      <c r="J50" s="143"/>
      <c r="K50" s="143">
        <v>6.1</v>
      </c>
      <c r="L50" s="105"/>
    </row>
    <row r="51" spans="1:12" s="94" customFormat="1" ht="11.25" customHeight="1" x14ac:dyDescent="0.25">
      <c r="A51" s="140" t="s">
        <v>68</v>
      </c>
      <c r="B51" s="135"/>
      <c r="C51" s="141">
        <v>686210</v>
      </c>
      <c r="D51" s="142"/>
      <c r="E51" s="141">
        <v>79148</v>
      </c>
      <c r="F51" s="142"/>
      <c r="G51" s="143">
        <v>1.2</v>
      </c>
      <c r="H51" s="143"/>
      <c r="I51" s="143">
        <v>-2.2999999999999998</v>
      </c>
      <c r="J51" s="143"/>
      <c r="K51" s="143">
        <v>5.4</v>
      </c>
      <c r="L51" s="105"/>
    </row>
    <row r="52" spans="1:12" s="94" customFormat="1" ht="11.25" customHeight="1" x14ac:dyDescent="0.25">
      <c r="A52" s="140" t="s">
        <v>69</v>
      </c>
      <c r="B52" s="96"/>
      <c r="C52" s="141">
        <v>42067</v>
      </c>
      <c r="D52" s="142"/>
      <c r="E52" s="141">
        <v>4356</v>
      </c>
      <c r="F52" s="142"/>
      <c r="G52" s="143">
        <v>7.4</v>
      </c>
      <c r="H52" s="143"/>
      <c r="I52" s="143">
        <v>4.4000000000000004</v>
      </c>
      <c r="J52" s="143"/>
      <c r="K52" s="143">
        <v>9.4</v>
      </c>
      <c r="L52" s="105"/>
    </row>
    <row r="53" spans="1:12" s="106" customFormat="1" ht="11.25" customHeight="1" x14ac:dyDescent="0.25">
      <c r="A53" s="144" t="s">
        <v>71</v>
      </c>
      <c r="C53" s="141">
        <v>2968931</v>
      </c>
      <c r="D53" s="142"/>
      <c r="E53" s="141">
        <v>35061</v>
      </c>
      <c r="F53" s="142"/>
      <c r="G53" s="143">
        <v>0.8</v>
      </c>
      <c r="H53" s="143"/>
      <c r="I53" s="143">
        <v>1.9</v>
      </c>
      <c r="J53" s="143"/>
      <c r="K53" s="143">
        <v>11.4</v>
      </c>
    </row>
    <row r="54" spans="1:12" s="94" customFormat="1" ht="11.25" customHeight="1" x14ac:dyDescent="0.25">
      <c r="A54" s="140" t="s">
        <v>72</v>
      </c>
      <c r="B54" s="96"/>
      <c r="C54" s="141">
        <v>109193</v>
      </c>
      <c r="D54" s="142"/>
      <c r="E54" s="141">
        <v>17750</v>
      </c>
      <c r="F54" s="142"/>
      <c r="G54" s="143">
        <v>-3.4</v>
      </c>
      <c r="H54" s="143"/>
      <c r="I54" s="143">
        <v>-2.9</v>
      </c>
      <c r="J54" s="143"/>
      <c r="K54" s="143">
        <v>4.5999999999999996</v>
      </c>
      <c r="L54" s="105"/>
    </row>
    <row r="55" spans="1:12" s="94" customFormat="1" ht="11.25" customHeight="1" x14ac:dyDescent="0.25">
      <c r="A55" s="140" t="s">
        <v>73</v>
      </c>
      <c r="B55" s="96"/>
      <c r="C55" s="141">
        <v>591509</v>
      </c>
      <c r="D55" s="142"/>
      <c r="E55" s="141">
        <v>14428</v>
      </c>
      <c r="F55" s="142"/>
      <c r="G55" s="143">
        <v>3.2</v>
      </c>
      <c r="H55" s="143"/>
      <c r="I55" s="143">
        <v>-3.8</v>
      </c>
      <c r="J55" s="143"/>
      <c r="K55" s="143">
        <v>3.4</v>
      </c>
      <c r="L55" s="105"/>
    </row>
    <row r="56" spans="1:12" s="94" customFormat="1" ht="11.25" customHeight="1" x14ac:dyDescent="0.25">
      <c r="A56" s="140" t="s">
        <v>74</v>
      </c>
      <c r="B56" s="136"/>
      <c r="C56" s="141">
        <v>3336466</v>
      </c>
      <c r="D56" s="142"/>
      <c r="E56" s="141">
        <v>49591</v>
      </c>
      <c r="F56" s="142"/>
      <c r="G56" s="143">
        <v>1.6</v>
      </c>
      <c r="H56" s="143"/>
      <c r="I56" s="143">
        <v>-11</v>
      </c>
      <c r="J56" s="143"/>
      <c r="K56" s="143">
        <v>7.6</v>
      </c>
      <c r="L56" s="105"/>
    </row>
    <row r="57" spans="1:12" s="94" customFormat="1" ht="11.25" customHeight="1" x14ac:dyDescent="0.25">
      <c r="A57" s="140" t="s">
        <v>75</v>
      </c>
      <c r="B57" s="96"/>
      <c r="C57" s="141">
        <v>300530</v>
      </c>
      <c r="D57" s="142"/>
      <c r="E57" s="141">
        <v>8696</v>
      </c>
      <c r="F57" s="142"/>
      <c r="G57" s="143">
        <v>6</v>
      </c>
      <c r="H57" s="143"/>
      <c r="I57" s="143">
        <v>2</v>
      </c>
      <c r="J57" s="143"/>
      <c r="K57" s="143">
        <v>7.4</v>
      </c>
      <c r="L57" s="105"/>
    </row>
    <row r="58" spans="1:12" s="94" customFormat="1" ht="11.25" customHeight="1" x14ac:dyDescent="0.25">
      <c r="A58" s="145" t="s">
        <v>76</v>
      </c>
      <c r="B58" s="96"/>
      <c r="C58" s="107">
        <v>36395258</v>
      </c>
      <c r="D58" s="108"/>
      <c r="E58" s="109">
        <v>39397</v>
      </c>
      <c r="F58" s="131">
        <v>3</v>
      </c>
      <c r="G58" s="110">
        <v>2.2999999999999998</v>
      </c>
      <c r="H58" s="131">
        <v>4</v>
      </c>
      <c r="I58" s="111">
        <v>-4.3</v>
      </c>
      <c r="J58" s="131">
        <v>4</v>
      </c>
      <c r="K58" s="111">
        <v>6.5</v>
      </c>
      <c r="L58" s="131">
        <v>4</v>
      </c>
    </row>
    <row r="59" spans="1:12" s="94" customFormat="1" ht="11.25" customHeight="1" x14ac:dyDescent="0.25">
      <c r="A59" s="146" t="s">
        <v>189</v>
      </c>
      <c r="B59" s="99"/>
      <c r="C59" s="77">
        <v>148174764</v>
      </c>
      <c r="D59" s="112"/>
      <c r="E59" s="113">
        <v>18784</v>
      </c>
      <c r="F59" s="114">
        <v>3</v>
      </c>
      <c r="G59" s="115">
        <v>2.8</v>
      </c>
      <c r="H59" s="116"/>
      <c r="I59" s="117">
        <v>-2.8</v>
      </c>
      <c r="J59" s="116"/>
      <c r="K59" s="117">
        <v>6.3</v>
      </c>
      <c r="L59" s="116"/>
    </row>
    <row r="60" spans="1:12" s="94" customFormat="1" ht="11.25" customHeight="1" x14ac:dyDescent="0.25">
      <c r="A60" s="176" t="s">
        <v>190</v>
      </c>
      <c r="B60" s="177"/>
      <c r="C60" s="177"/>
      <c r="D60" s="177"/>
      <c r="E60" s="177"/>
      <c r="F60" s="177"/>
      <c r="G60" s="178"/>
      <c r="H60" s="177"/>
      <c r="I60" s="177"/>
      <c r="J60" s="177"/>
      <c r="K60" s="177"/>
      <c r="L60" s="177"/>
    </row>
    <row r="61" spans="1:12" s="94" customFormat="1" ht="11.25" customHeight="1" x14ac:dyDescent="0.25">
      <c r="A61" s="179" t="s">
        <v>191</v>
      </c>
      <c r="B61" s="178"/>
      <c r="C61" s="178"/>
      <c r="D61" s="178"/>
      <c r="E61" s="178"/>
      <c r="F61" s="178"/>
      <c r="G61" s="178"/>
      <c r="H61" s="178"/>
      <c r="I61" s="178"/>
      <c r="J61" s="178"/>
      <c r="K61" s="178"/>
      <c r="L61" s="178"/>
    </row>
    <row r="62" spans="1:12" s="94" customFormat="1" ht="11.25" customHeight="1" x14ac:dyDescent="0.25">
      <c r="A62" s="166" t="s">
        <v>192</v>
      </c>
      <c r="B62" s="167"/>
      <c r="C62" s="167"/>
      <c r="D62" s="167"/>
      <c r="E62" s="167"/>
      <c r="F62" s="167"/>
      <c r="G62" s="167"/>
      <c r="H62" s="167"/>
      <c r="I62" s="167"/>
      <c r="J62" s="167"/>
      <c r="K62" s="167"/>
      <c r="L62" s="167"/>
    </row>
    <row r="63" spans="1:12" s="94" customFormat="1" ht="11.25" customHeight="1" x14ac:dyDescent="0.25">
      <c r="A63" s="166" t="s">
        <v>193</v>
      </c>
      <c r="B63" s="167"/>
      <c r="C63" s="167"/>
      <c r="D63" s="167"/>
      <c r="E63" s="167"/>
      <c r="F63" s="167"/>
      <c r="G63" s="167"/>
      <c r="H63" s="167"/>
      <c r="I63" s="167"/>
      <c r="J63" s="167"/>
      <c r="K63" s="167"/>
      <c r="L63" s="167"/>
    </row>
    <row r="64" spans="1:12" s="94" customFormat="1" ht="11.25" customHeight="1" x14ac:dyDescent="0.25">
      <c r="A64" s="166" t="s">
        <v>194</v>
      </c>
      <c r="B64" s="167"/>
      <c r="C64" s="167"/>
      <c r="D64" s="167"/>
      <c r="E64" s="167"/>
      <c r="F64" s="167"/>
      <c r="G64" s="167"/>
      <c r="H64" s="167"/>
      <c r="I64" s="167"/>
      <c r="J64" s="167"/>
      <c r="K64" s="167"/>
      <c r="L64" s="167"/>
    </row>
    <row r="66" spans="3:3" x14ac:dyDescent="0.25">
      <c r="C66" s="118"/>
    </row>
  </sheetData>
  <mergeCells count="13">
    <mergeCell ref="A64:L64"/>
    <mergeCell ref="A1:L1"/>
    <mergeCell ref="A2:L2"/>
    <mergeCell ref="A3:L3"/>
    <mergeCell ref="C4:E4"/>
    <mergeCell ref="G4:K4"/>
    <mergeCell ref="C5:E5"/>
    <mergeCell ref="G5:K5"/>
    <mergeCell ref="G6:K6"/>
    <mergeCell ref="A60:L60"/>
    <mergeCell ref="A61:L61"/>
    <mergeCell ref="A62:L62"/>
    <mergeCell ref="A63:L63"/>
  </mergeCells>
  <pageMargins left="0.5" right="0.5" top="0.5" bottom="0.75"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8E57F-BEB0-4DDF-A3BF-0EB50EB4B7EF}">
  <dimension ref="A1:V457"/>
  <sheetViews>
    <sheetView zoomScaleNormal="100" workbookViewId="0">
      <selection sqref="A1:T1"/>
    </sheetView>
  </sheetViews>
  <sheetFormatPr defaultColWidth="8.7109375" defaultRowHeight="11.25" customHeight="1" x14ac:dyDescent="0.25"/>
  <cols>
    <col min="1" max="1" width="20.7109375" style="13" customWidth="1"/>
    <col min="2" max="2" width="1.5703125" style="13" customWidth="1"/>
    <col min="3" max="3" width="10" style="13" customWidth="1"/>
    <col min="4" max="4" width="2.5703125" style="13" customWidth="1"/>
    <col min="5" max="5" width="9.28515625" style="13" bestFit="1" customWidth="1"/>
    <col min="6" max="6" width="2.28515625" style="13" bestFit="1" customWidth="1"/>
    <col min="7" max="7" width="9" style="13" bestFit="1" customWidth="1"/>
    <col min="8" max="8" width="1.5703125" style="13" customWidth="1"/>
    <col min="9" max="9" width="8" style="13" customWidth="1"/>
    <col min="10" max="10" width="1.5703125" style="13" customWidth="1"/>
    <col min="11" max="11" width="10.7109375" style="13" customWidth="1"/>
    <col min="12" max="12" width="1.5703125" style="13" customWidth="1"/>
    <col min="13" max="13" width="9.5703125" style="13" customWidth="1"/>
    <col min="14" max="14" width="1.5703125" style="13" customWidth="1"/>
    <col min="15" max="15" width="10.7109375" style="13" customWidth="1"/>
    <col min="16" max="16" width="2.5703125" style="18" customWidth="1"/>
    <col min="17" max="17" width="10.42578125" style="13" customWidth="1"/>
    <col min="18" max="18" width="2.5703125" style="13" customWidth="1"/>
    <col min="19" max="19" width="9.28515625" style="13" bestFit="1" customWidth="1"/>
    <col min="20" max="20" width="1.5703125" style="13" customWidth="1"/>
    <col min="21" max="21" width="8.7109375" style="39" customWidth="1"/>
    <col min="22" max="16384" width="8.7109375" style="39"/>
  </cols>
  <sheetData>
    <row r="1" spans="1:20" ht="11.25" customHeight="1" x14ac:dyDescent="0.25">
      <c r="A1" s="183" t="s">
        <v>0</v>
      </c>
      <c r="B1" s="183"/>
      <c r="C1" s="183"/>
      <c r="D1" s="183"/>
      <c r="E1" s="183"/>
      <c r="F1" s="183"/>
      <c r="G1" s="183"/>
      <c r="H1" s="183"/>
      <c r="I1" s="183"/>
      <c r="J1" s="183"/>
      <c r="K1" s="183"/>
      <c r="L1" s="183"/>
      <c r="M1" s="183"/>
      <c r="N1" s="183"/>
      <c r="O1" s="183"/>
      <c r="P1" s="183"/>
      <c r="Q1" s="183"/>
      <c r="R1" s="183"/>
      <c r="S1" s="183"/>
      <c r="T1" s="183"/>
    </row>
    <row r="2" spans="1:20" ht="11.25" customHeight="1" x14ac:dyDescent="0.25">
      <c r="A2" s="183" t="s">
        <v>202</v>
      </c>
      <c r="B2" s="183"/>
      <c r="C2" s="183"/>
      <c r="D2" s="183"/>
      <c r="E2" s="183"/>
      <c r="F2" s="183"/>
      <c r="G2" s="183"/>
      <c r="H2" s="183"/>
      <c r="I2" s="183"/>
      <c r="J2" s="183"/>
      <c r="K2" s="183"/>
      <c r="L2" s="183"/>
      <c r="M2" s="183"/>
      <c r="N2" s="183"/>
      <c r="O2" s="183"/>
      <c r="P2" s="183"/>
      <c r="Q2" s="183"/>
      <c r="R2" s="183"/>
      <c r="S2" s="183"/>
      <c r="T2" s="183"/>
    </row>
    <row r="3" spans="1:20" ht="11.25" customHeight="1" x14ac:dyDescent="0.25">
      <c r="A3" s="183"/>
      <c r="B3" s="183"/>
      <c r="C3" s="183"/>
      <c r="D3" s="183"/>
      <c r="E3" s="183"/>
      <c r="F3" s="183"/>
      <c r="G3" s="183"/>
      <c r="H3" s="183"/>
      <c r="I3" s="183"/>
      <c r="J3" s="183"/>
      <c r="K3" s="183"/>
      <c r="L3" s="183"/>
      <c r="M3" s="183"/>
      <c r="N3" s="183"/>
      <c r="O3" s="183"/>
      <c r="P3" s="183"/>
      <c r="Q3" s="183"/>
      <c r="R3" s="183"/>
      <c r="S3" s="183"/>
      <c r="T3" s="183"/>
    </row>
    <row r="4" spans="1:20" ht="11.25" customHeight="1" x14ac:dyDescent="0.25">
      <c r="A4" s="183" t="s">
        <v>195</v>
      </c>
      <c r="B4" s="183"/>
      <c r="C4" s="183"/>
      <c r="D4" s="183"/>
      <c r="E4" s="183"/>
      <c r="F4" s="183"/>
      <c r="G4" s="183"/>
      <c r="H4" s="183"/>
      <c r="I4" s="183"/>
      <c r="J4" s="183"/>
      <c r="K4" s="183"/>
      <c r="L4" s="183"/>
      <c r="M4" s="183"/>
      <c r="N4" s="183"/>
      <c r="O4" s="183"/>
      <c r="P4" s="183"/>
      <c r="Q4" s="183"/>
      <c r="R4" s="183"/>
      <c r="S4" s="183"/>
      <c r="T4" s="183"/>
    </row>
    <row r="5" spans="1:20" ht="11.25" customHeight="1" x14ac:dyDescent="0.25">
      <c r="A5" s="184"/>
      <c r="B5" s="184"/>
      <c r="C5" s="184"/>
      <c r="D5" s="184"/>
      <c r="E5" s="184"/>
      <c r="F5" s="184"/>
      <c r="G5" s="184"/>
      <c r="H5" s="184"/>
      <c r="I5" s="184"/>
      <c r="J5" s="184"/>
      <c r="K5" s="184"/>
      <c r="L5" s="184"/>
      <c r="M5" s="184"/>
      <c r="N5" s="184"/>
      <c r="O5" s="184"/>
      <c r="P5" s="184"/>
      <c r="Q5" s="184"/>
      <c r="R5" s="184"/>
      <c r="S5" s="184"/>
      <c r="T5" s="184"/>
    </row>
    <row r="6" spans="1:20" ht="11.25" customHeight="1" x14ac:dyDescent="0.25">
      <c r="A6" s="63"/>
      <c r="B6" s="63"/>
      <c r="C6" s="185" t="s">
        <v>1</v>
      </c>
      <c r="D6" s="185"/>
      <c r="E6" s="185"/>
      <c r="F6" s="185"/>
      <c r="G6" s="185"/>
      <c r="H6" s="185"/>
      <c r="I6" s="185"/>
      <c r="J6" s="185"/>
      <c r="K6" s="185"/>
      <c r="L6" s="185"/>
      <c r="M6" s="185"/>
      <c r="N6" s="185"/>
      <c r="O6" s="185"/>
      <c r="P6" s="185"/>
      <c r="Q6" s="185"/>
      <c r="R6" s="185"/>
      <c r="S6" s="185"/>
      <c r="T6" s="185"/>
    </row>
    <row r="7" spans="1:20" ht="11.25" customHeight="1" x14ac:dyDescent="0.25">
      <c r="K7" s="14" t="s">
        <v>2</v>
      </c>
      <c r="O7" s="191"/>
      <c r="P7" s="191"/>
      <c r="Q7" s="191"/>
    </row>
    <row r="8" spans="1:20" ht="11.25" customHeight="1" x14ac:dyDescent="0.25">
      <c r="C8" s="187" t="s">
        <v>3</v>
      </c>
      <c r="D8" s="187"/>
      <c r="E8" s="187"/>
      <c r="F8" s="187"/>
      <c r="G8" s="187"/>
      <c r="H8" s="187"/>
      <c r="I8" s="187"/>
      <c r="J8" s="47"/>
      <c r="K8" s="14" t="s">
        <v>4</v>
      </c>
      <c r="L8" s="14"/>
      <c r="M8" s="48" t="s">
        <v>5</v>
      </c>
      <c r="N8" s="14"/>
      <c r="O8" s="184" t="s">
        <v>6</v>
      </c>
      <c r="P8" s="184"/>
      <c r="Q8" s="184"/>
      <c r="R8" s="14"/>
      <c r="S8" s="48" t="s">
        <v>7</v>
      </c>
      <c r="T8" s="47"/>
    </row>
    <row r="9" spans="1:20" ht="11.25" customHeight="1" x14ac:dyDescent="0.25">
      <c r="C9" s="47"/>
      <c r="D9" s="49"/>
      <c r="E9" s="47"/>
      <c r="F9" s="49"/>
      <c r="G9" s="190" t="s">
        <v>8</v>
      </c>
      <c r="H9" s="190"/>
      <c r="I9" s="190"/>
      <c r="J9" s="47"/>
      <c r="K9" s="14" t="s">
        <v>9</v>
      </c>
      <c r="M9" s="48" t="s">
        <v>4</v>
      </c>
      <c r="O9" s="14" t="s">
        <v>10</v>
      </c>
      <c r="P9" s="14"/>
      <c r="Q9" s="14"/>
      <c r="R9" s="14"/>
      <c r="S9" s="48" t="s">
        <v>10</v>
      </c>
      <c r="T9" s="49"/>
    </row>
    <row r="10" spans="1:20" s="41" customFormat="1" ht="11.25" customHeight="1" x14ac:dyDescent="0.25">
      <c r="A10" s="12" t="s">
        <v>171</v>
      </c>
      <c r="B10" s="12"/>
      <c r="C10" s="50" t="s">
        <v>11</v>
      </c>
      <c r="D10" s="50"/>
      <c r="E10" s="50" t="s">
        <v>12</v>
      </c>
      <c r="F10" s="50"/>
      <c r="G10" s="50" t="s">
        <v>13</v>
      </c>
      <c r="H10" s="50"/>
      <c r="I10" s="50" t="s">
        <v>14</v>
      </c>
      <c r="J10" s="51"/>
      <c r="K10" s="12" t="s">
        <v>15</v>
      </c>
      <c r="L10" s="12"/>
      <c r="M10" s="50" t="s">
        <v>16</v>
      </c>
      <c r="N10" s="12"/>
      <c r="O10" s="12" t="s">
        <v>17</v>
      </c>
      <c r="P10" s="12"/>
      <c r="Q10" s="12" t="s">
        <v>18</v>
      </c>
      <c r="R10" s="12"/>
      <c r="S10" s="50" t="s">
        <v>19</v>
      </c>
      <c r="T10" s="52"/>
    </row>
    <row r="11" spans="1:20" ht="11.25" customHeight="1" x14ac:dyDescent="0.25">
      <c r="A11" s="64" t="s">
        <v>20</v>
      </c>
      <c r="C11" s="16" t="s">
        <v>21</v>
      </c>
      <c r="D11" s="17"/>
      <c r="E11" s="16" t="s">
        <v>21</v>
      </c>
      <c r="F11" s="18"/>
      <c r="G11" s="16" t="s">
        <v>21</v>
      </c>
      <c r="H11" s="19"/>
      <c r="I11" s="16" t="s">
        <v>21</v>
      </c>
      <c r="J11" s="18"/>
      <c r="K11" s="16" t="s">
        <v>21</v>
      </c>
      <c r="L11" s="17"/>
      <c r="M11" s="42">
        <v>650</v>
      </c>
      <c r="N11" s="17"/>
      <c r="O11" s="16" t="s">
        <v>21</v>
      </c>
      <c r="Q11" s="16" t="s">
        <v>21</v>
      </c>
      <c r="R11" s="20"/>
      <c r="S11" s="42">
        <v>4</v>
      </c>
      <c r="T11" s="17"/>
    </row>
    <row r="12" spans="1:20" ht="11.25" customHeight="1" x14ac:dyDescent="0.25">
      <c r="A12" s="53" t="s">
        <v>22</v>
      </c>
      <c r="C12" s="16" t="s">
        <v>21</v>
      </c>
      <c r="D12" s="17"/>
      <c r="E12" s="16" t="s">
        <v>21</v>
      </c>
      <c r="F12" s="18"/>
      <c r="G12" s="16" t="s">
        <v>21</v>
      </c>
      <c r="H12" s="19"/>
      <c r="I12" s="16" t="s">
        <v>21</v>
      </c>
      <c r="J12" s="18"/>
      <c r="K12" s="16" t="s">
        <v>21</v>
      </c>
      <c r="L12" s="17"/>
      <c r="M12" s="16" t="s">
        <v>21</v>
      </c>
      <c r="N12" s="17"/>
      <c r="O12" s="16" t="s">
        <v>21</v>
      </c>
      <c r="P12" s="17"/>
      <c r="Q12" s="16" t="s">
        <v>21</v>
      </c>
      <c r="R12" s="21"/>
      <c r="S12" s="42">
        <v>82</v>
      </c>
      <c r="T12" s="17" t="s">
        <v>23</v>
      </c>
    </row>
    <row r="13" spans="1:20" ht="11.25" customHeight="1" x14ac:dyDescent="0.25">
      <c r="A13" s="53" t="s">
        <v>24</v>
      </c>
      <c r="C13" s="16" t="s">
        <v>21</v>
      </c>
      <c r="D13" s="17"/>
      <c r="E13" s="16" t="s">
        <v>21</v>
      </c>
      <c r="F13" s="18"/>
      <c r="G13" s="16" t="s">
        <v>21</v>
      </c>
      <c r="H13" s="19"/>
      <c r="I13" s="6">
        <v>491</v>
      </c>
      <c r="J13" s="17" t="s">
        <v>23</v>
      </c>
      <c r="K13" s="16" t="s">
        <v>21</v>
      </c>
      <c r="L13" s="17"/>
      <c r="M13" s="16" t="s">
        <v>21</v>
      </c>
      <c r="N13" s="17"/>
      <c r="O13" s="16" t="s">
        <v>21</v>
      </c>
      <c r="Q13" s="16" t="s">
        <v>21</v>
      </c>
      <c r="R13" s="20"/>
      <c r="S13" s="16" t="s">
        <v>21</v>
      </c>
      <c r="T13" s="21"/>
    </row>
    <row r="14" spans="1:20" ht="11.25" customHeight="1" x14ac:dyDescent="0.25">
      <c r="A14" s="53" t="s">
        <v>25</v>
      </c>
      <c r="C14" s="16" t="s">
        <v>21</v>
      </c>
      <c r="D14" s="17"/>
      <c r="E14" s="16" t="s">
        <v>21</v>
      </c>
      <c r="F14" s="18"/>
      <c r="G14" s="42">
        <v>26</v>
      </c>
      <c r="H14" s="19"/>
      <c r="I14" s="16" t="s">
        <v>21</v>
      </c>
      <c r="J14" s="18"/>
      <c r="K14" s="16" t="s">
        <v>21</v>
      </c>
      <c r="L14" s="17"/>
      <c r="M14" s="16" t="s">
        <v>21</v>
      </c>
      <c r="N14" s="17"/>
      <c r="O14" s="16" t="s">
        <v>21</v>
      </c>
      <c r="P14" s="17"/>
      <c r="Q14" s="16" t="s">
        <v>21</v>
      </c>
      <c r="R14" s="21"/>
      <c r="S14" s="6">
        <v>3</v>
      </c>
      <c r="T14" s="21"/>
    </row>
    <row r="15" spans="1:20" ht="11.25" customHeight="1" x14ac:dyDescent="0.25">
      <c r="A15" s="53" t="s">
        <v>26</v>
      </c>
      <c r="C15" s="16" t="s">
        <v>21</v>
      </c>
      <c r="D15" s="17"/>
      <c r="E15" s="16" t="s">
        <v>21</v>
      </c>
      <c r="F15" s="18"/>
      <c r="G15" s="16" t="s">
        <v>21</v>
      </c>
      <c r="H15" s="19"/>
      <c r="I15" s="16" t="s">
        <v>21</v>
      </c>
      <c r="J15" s="18"/>
      <c r="K15" s="16" t="s">
        <v>21</v>
      </c>
      <c r="L15" s="17"/>
      <c r="M15" s="16" t="s">
        <v>21</v>
      </c>
      <c r="N15" s="17"/>
      <c r="O15" s="16" t="s">
        <v>21</v>
      </c>
      <c r="P15" s="17"/>
      <c r="Q15" s="16" t="s">
        <v>21</v>
      </c>
      <c r="R15" s="21"/>
      <c r="S15" s="16" t="s">
        <v>21</v>
      </c>
      <c r="T15" s="21"/>
    </row>
    <row r="16" spans="1:20" ht="11.25" customHeight="1" x14ac:dyDescent="0.25">
      <c r="A16" s="53" t="s">
        <v>27</v>
      </c>
      <c r="C16" s="16" t="s">
        <v>21</v>
      </c>
      <c r="D16" s="17"/>
      <c r="E16" s="16" t="s">
        <v>21</v>
      </c>
      <c r="F16" s="18"/>
      <c r="G16" s="16" t="s">
        <v>21</v>
      </c>
      <c r="H16" s="19"/>
      <c r="I16" s="16" t="s">
        <v>21</v>
      </c>
      <c r="J16" s="17"/>
      <c r="K16" s="16" t="s">
        <v>21</v>
      </c>
      <c r="L16" s="17"/>
      <c r="M16" s="16" t="s">
        <v>21</v>
      </c>
      <c r="N16" s="17"/>
      <c r="O16" s="16" t="s">
        <v>21</v>
      </c>
      <c r="Q16" s="9">
        <v>1000</v>
      </c>
      <c r="R16" s="20" t="s">
        <v>23</v>
      </c>
      <c r="S16" s="16" t="s">
        <v>21</v>
      </c>
      <c r="T16" s="21"/>
    </row>
    <row r="17" spans="1:20" ht="11.25" customHeight="1" x14ac:dyDescent="0.2">
      <c r="A17" s="53" t="s">
        <v>28</v>
      </c>
      <c r="C17" s="65">
        <v>173</v>
      </c>
      <c r="D17" s="17"/>
      <c r="E17" s="65">
        <v>725</v>
      </c>
      <c r="F17" s="18"/>
      <c r="G17" s="4" t="s">
        <v>21</v>
      </c>
      <c r="H17" s="19"/>
      <c r="I17" s="4" t="s">
        <v>21</v>
      </c>
      <c r="J17" s="18"/>
      <c r="K17" s="16" t="s">
        <v>21</v>
      </c>
      <c r="L17" s="17"/>
      <c r="M17" s="16" t="s">
        <v>21</v>
      </c>
      <c r="N17" s="17"/>
      <c r="O17" s="16" t="s">
        <v>21</v>
      </c>
      <c r="P17" s="17"/>
      <c r="Q17" s="16" t="s">
        <v>21</v>
      </c>
      <c r="R17" s="22"/>
      <c r="S17" s="16" t="s">
        <v>21</v>
      </c>
      <c r="T17" s="21"/>
    </row>
    <row r="18" spans="1:20" ht="11.25" customHeight="1" x14ac:dyDescent="0.25">
      <c r="A18" s="53" t="s">
        <v>29</v>
      </c>
      <c r="C18" s="16" t="s">
        <v>21</v>
      </c>
      <c r="D18" s="17"/>
      <c r="E18" s="16" t="s">
        <v>21</v>
      </c>
      <c r="F18" s="18"/>
      <c r="G18" s="16" t="s">
        <v>21</v>
      </c>
      <c r="H18" s="19"/>
      <c r="I18" s="6">
        <v>4</v>
      </c>
      <c r="J18" s="17"/>
      <c r="K18" s="16" t="s">
        <v>21</v>
      </c>
      <c r="L18" s="17"/>
      <c r="M18" s="16" t="s">
        <v>21</v>
      </c>
      <c r="N18" s="17"/>
      <c r="O18" s="16" t="s">
        <v>21</v>
      </c>
      <c r="P18" s="17"/>
      <c r="Q18" s="16" t="s">
        <v>21</v>
      </c>
      <c r="R18" s="21"/>
      <c r="S18" s="6">
        <v>66</v>
      </c>
      <c r="T18" s="21"/>
    </row>
    <row r="19" spans="1:20" ht="11.25" customHeight="1" x14ac:dyDescent="0.25">
      <c r="A19" s="53" t="s">
        <v>30</v>
      </c>
      <c r="C19" s="16" t="s">
        <v>21</v>
      </c>
      <c r="D19" s="17"/>
      <c r="E19" s="6">
        <v>14</v>
      </c>
      <c r="F19" s="18"/>
      <c r="G19" s="16" t="s">
        <v>21</v>
      </c>
      <c r="H19" s="19"/>
      <c r="I19" s="16" t="s">
        <v>21</v>
      </c>
      <c r="J19" s="17"/>
      <c r="K19" s="16" t="s">
        <v>21</v>
      </c>
      <c r="L19" s="17"/>
      <c r="M19" s="16" t="s">
        <v>21</v>
      </c>
      <c r="N19" s="17"/>
      <c r="O19" s="16" t="s">
        <v>21</v>
      </c>
      <c r="P19" s="17"/>
      <c r="Q19" s="16" t="s">
        <v>21</v>
      </c>
      <c r="R19" s="22"/>
      <c r="S19" s="16" t="s">
        <v>21</v>
      </c>
      <c r="T19" s="21"/>
    </row>
    <row r="20" spans="1:20" ht="11.25" customHeight="1" x14ac:dyDescent="0.25">
      <c r="A20" s="53" t="s">
        <v>31</v>
      </c>
      <c r="C20" s="16" t="s">
        <v>21</v>
      </c>
      <c r="D20" s="17"/>
      <c r="E20" s="16" t="s">
        <v>21</v>
      </c>
      <c r="F20" s="18"/>
      <c r="G20" s="16" t="s">
        <v>21</v>
      </c>
      <c r="H20" s="19"/>
      <c r="I20" s="6">
        <v>21</v>
      </c>
      <c r="J20" s="18" t="s">
        <v>23</v>
      </c>
      <c r="K20" s="16" t="s">
        <v>21</v>
      </c>
      <c r="L20" s="17"/>
      <c r="M20" s="16" t="s">
        <v>21</v>
      </c>
      <c r="N20" s="17"/>
      <c r="O20" s="16" t="s">
        <v>21</v>
      </c>
      <c r="P20" s="17"/>
      <c r="Q20" s="16" t="s">
        <v>21</v>
      </c>
      <c r="R20" s="21"/>
      <c r="S20" s="16" t="s">
        <v>21</v>
      </c>
      <c r="T20" s="21"/>
    </row>
    <row r="21" spans="1:20" ht="11.25" customHeight="1" x14ac:dyDescent="0.25">
      <c r="A21" s="53" t="s">
        <v>32</v>
      </c>
      <c r="C21" s="16" t="s">
        <v>21</v>
      </c>
      <c r="D21" s="21"/>
      <c r="E21" s="16" t="s">
        <v>21</v>
      </c>
      <c r="F21" s="18"/>
      <c r="G21" s="16" t="s">
        <v>21</v>
      </c>
      <c r="H21" s="19"/>
      <c r="I21" s="6">
        <v>60</v>
      </c>
      <c r="J21" s="17"/>
      <c r="K21" s="16" t="s">
        <v>21</v>
      </c>
      <c r="L21" s="17"/>
      <c r="M21" s="16" t="s">
        <v>21</v>
      </c>
      <c r="N21" s="17"/>
      <c r="O21" s="16" t="s">
        <v>21</v>
      </c>
      <c r="P21" s="17"/>
      <c r="Q21" s="16" t="s">
        <v>21</v>
      </c>
      <c r="R21" s="21"/>
      <c r="S21" s="16" t="s">
        <v>21</v>
      </c>
      <c r="T21" s="21"/>
    </row>
    <row r="22" spans="1:20" ht="11.25" customHeight="1" x14ac:dyDescent="0.25">
      <c r="A22" s="53" t="s">
        <v>33</v>
      </c>
      <c r="C22" s="16" t="s">
        <v>21</v>
      </c>
      <c r="D22" s="21"/>
      <c r="E22" s="16" t="s">
        <v>21</v>
      </c>
      <c r="F22" s="18"/>
      <c r="G22" s="16" t="s">
        <v>21</v>
      </c>
      <c r="H22" s="19"/>
      <c r="I22" s="16" t="s">
        <v>21</v>
      </c>
      <c r="J22" s="17"/>
      <c r="K22" s="16" t="s">
        <v>21</v>
      </c>
      <c r="L22" s="17"/>
      <c r="M22" s="16" t="s">
        <v>21</v>
      </c>
      <c r="N22" s="17"/>
      <c r="O22" s="16" t="s">
        <v>21</v>
      </c>
      <c r="P22" s="17"/>
      <c r="Q22" s="16" t="s">
        <v>21</v>
      </c>
      <c r="R22" s="21"/>
      <c r="S22" s="16" t="s">
        <v>21</v>
      </c>
      <c r="T22" s="21"/>
    </row>
    <row r="23" spans="1:20" ht="11.25" customHeight="1" x14ac:dyDescent="0.25">
      <c r="A23" s="53" t="s">
        <v>34</v>
      </c>
      <c r="C23" s="16" t="s">
        <v>21</v>
      </c>
      <c r="D23" s="21"/>
      <c r="E23" s="16" t="s">
        <v>21</v>
      </c>
      <c r="F23" s="18"/>
      <c r="G23" s="16" t="s">
        <v>21</v>
      </c>
      <c r="H23" s="19"/>
      <c r="I23" s="16" t="s">
        <v>21</v>
      </c>
      <c r="J23" s="18"/>
      <c r="K23" s="16" t="s">
        <v>21</v>
      </c>
      <c r="L23" s="17"/>
      <c r="M23" s="16" t="s">
        <v>21</v>
      </c>
      <c r="N23" s="17"/>
      <c r="O23" s="16" t="s">
        <v>21</v>
      </c>
      <c r="P23" s="17"/>
      <c r="Q23" s="16" t="s">
        <v>21</v>
      </c>
      <c r="R23" s="21"/>
      <c r="S23" s="16" t="s">
        <v>21</v>
      </c>
      <c r="T23" s="21"/>
    </row>
    <row r="24" spans="1:20" ht="11.25" customHeight="1" x14ac:dyDescent="0.25">
      <c r="A24" s="53" t="s">
        <v>35</v>
      </c>
      <c r="C24" s="16" t="s">
        <v>21</v>
      </c>
      <c r="D24" s="18"/>
      <c r="E24" s="16" t="s">
        <v>21</v>
      </c>
      <c r="F24" s="18"/>
      <c r="G24" s="16" t="s">
        <v>21</v>
      </c>
      <c r="H24" s="19"/>
      <c r="I24" s="16" t="s">
        <v>21</v>
      </c>
      <c r="J24" s="18"/>
      <c r="K24" s="16" t="s">
        <v>21</v>
      </c>
      <c r="L24" s="17"/>
      <c r="M24" s="6">
        <v>2274</v>
      </c>
      <c r="N24" s="17"/>
      <c r="O24" s="9">
        <v>1084</v>
      </c>
      <c r="Q24" s="9">
        <v>14287</v>
      </c>
      <c r="R24" s="20"/>
      <c r="S24" s="6">
        <v>32</v>
      </c>
      <c r="T24" s="21"/>
    </row>
    <row r="25" spans="1:20" ht="11.25" customHeight="1" x14ac:dyDescent="0.25">
      <c r="A25" s="53" t="s">
        <v>36</v>
      </c>
      <c r="C25" s="16" t="s">
        <v>21</v>
      </c>
      <c r="D25" s="21"/>
      <c r="E25" s="16" t="s">
        <v>21</v>
      </c>
      <c r="F25" s="17"/>
      <c r="G25" s="6">
        <v>400</v>
      </c>
      <c r="H25" s="19" t="s">
        <v>23</v>
      </c>
      <c r="I25" s="16" t="s">
        <v>21</v>
      </c>
      <c r="J25" s="18"/>
      <c r="K25" s="16" t="s">
        <v>21</v>
      </c>
      <c r="L25" s="17"/>
      <c r="M25" s="16" t="s">
        <v>21</v>
      </c>
      <c r="N25" s="17"/>
      <c r="O25" s="16" t="s">
        <v>21</v>
      </c>
      <c r="Q25" s="9">
        <v>110</v>
      </c>
      <c r="R25" s="20" t="s">
        <v>23</v>
      </c>
      <c r="S25" s="16" t="s">
        <v>21</v>
      </c>
      <c r="T25" s="21"/>
    </row>
    <row r="26" spans="1:20" ht="11.25" customHeight="1" x14ac:dyDescent="0.25">
      <c r="A26" s="53" t="s">
        <v>37</v>
      </c>
      <c r="C26" s="16" t="s">
        <v>21</v>
      </c>
      <c r="D26" s="21"/>
      <c r="E26" s="16" t="s">
        <v>21</v>
      </c>
      <c r="F26" s="18"/>
      <c r="G26" s="16" t="s">
        <v>21</v>
      </c>
      <c r="H26" s="19"/>
      <c r="I26" s="16" t="s">
        <v>21</v>
      </c>
      <c r="J26" s="18"/>
      <c r="K26" s="16" t="s">
        <v>21</v>
      </c>
      <c r="L26" s="17"/>
      <c r="M26" s="16" t="s">
        <v>21</v>
      </c>
      <c r="N26" s="17"/>
      <c r="O26" s="16" t="s">
        <v>21</v>
      </c>
      <c r="P26" s="17"/>
      <c r="Q26" s="16" t="s">
        <v>21</v>
      </c>
      <c r="R26" s="21"/>
      <c r="S26" s="1">
        <v>8</v>
      </c>
      <c r="T26" s="17"/>
    </row>
    <row r="27" spans="1:20" ht="11.25" customHeight="1" x14ac:dyDescent="0.25">
      <c r="A27" s="53" t="s">
        <v>38</v>
      </c>
      <c r="C27" s="6">
        <v>964</v>
      </c>
      <c r="D27" s="17"/>
      <c r="E27" s="16" t="s">
        <v>21</v>
      </c>
      <c r="F27" s="18"/>
      <c r="G27" s="15">
        <v>550</v>
      </c>
      <c r="H27" s="19" t="s">
        <v>23</v>
      </c>
      <c r="I27" s="6">
        <v>760</v>
      </c>
      <c r="J27" s="18" t="s">
        <v>23</v>
      </c>
      <c r="K27" s="16" t="s">
        <v>21</v>
      </c>
      <c r="L27" s="17"/>
      <c r="M27" s="16" t="s">
        <v>21</v>
      </c>
      <c r="N27" s="17"/>
      <c r="O27" s="16" t="s">
        <v>21</v>
      </c>
      <c r="Q27" s="16" t="s">
        <v>21</v>
      </c>
      <c r="R27" s="20"/>
      <c r="S27" s="6"/>
      <c r="T27" s="21"/>
    </row>
    <row r="28" spans="1:20" ht="11.25" customHeight="1" x14ac:dyDescent="0.25">
      <c r="A28" s="53" t="s">
        <v>39</v>
      </c>
      <c r="C28" s="6">
        <v>871</v>
      </c>
      <c r="D28" s="18"/>
      <c r="E28" s="6">
        <v>1400</v>
      </c>
      <c r="F28" s="18" t="s">
        <v>23</v>
      </c>
      <c r="G28" s="9">
        <v>184</v>
      </c>
      <c r="H28" s="19"/>
      <c r="I28" s="16" t="s">
        <v>21</v>
      </c>
      <c r="J28" s="17"/>
      <c r="K28" s="16" t="s">
        <v>21</v>
      </c>
      <c r="L28" s="17"/>
      <c r="M28" s="16" t="s">
        <v>21</v>
      </c>
      <c r="N28" s="17"/>
      <c r="O28" s="16" t="s">
        <v>21</v>
      </c>
      <c r="Q28" s="16" t="s">
        <v>21</v>
      </c>
      <c r="R28" s="20"/>
      <c r="S28" s="16" t="s">
        <v>21</v>
      </c>
      <c r="T28" s="21"/>
    </row>
    <row r="29" spans="1:20" ht="11.25" customHeight="1" x14ac:dyDescent="0.2">
      <c r="A29" s="53" t="s">
        <v>40</v>
      </c>
      <c r="C29" s="66">
        <v>307</v>
      </c>
      <c r="D29" s="21"/>
      <c r="E29" s="67" t="s">
        <v>21</v>
      </c>
      <c r="F29" s="18" t="s">
        <v>23</v>
      </c>
      <c r="G29" s="16" t="s">
        <v>21</v>
      </c>
      <c r="H29" s="19"/>
      <c r="I29" s="6">
        <v>50</v>
      </c>
      <c r="J29" s="17"/>
      <c r="K29" s="16" t="s">
        <v>21</v>
      </c>
      <c r="L29" s="17"/>
      <c r="M29" s="16" t="s">
        <v>21</v>
      </c>
      <c r="N29" s="17"/>
      <c r="O29" s="16" t="s">
        <v>21</v>
      </c>
      <c r="P29" s="17"/>
      <c r="Q29" s="16" t="s">
        <v>21</v>
      </c>
      <c r="R29" s="21"/>
      <c r="S29" s="16" t="s">
        <v>21</v>
      </c>
      <c r="T29" s="21"/>
    </row>
    <row r="30" spans="1:20" ht="11.25" customHeight="1" x14ac:dyDescent="0.2">
      <c r="A30" s="53" t="s">
        <v>41</v>
      </c>
      <c r="C30" s="67" t="s">
        <v>21</v>
      </c>
      <c r="D30" s="18"/>
      <c r="E30" s="67" t="s">
        <v>21</v>
      </c>
      <c r="F30" s="18"/>
      <c r="G30" s="6">
        <v>730</v>
      </c>
      <c r="H30" s="19"/>
      <c r="I30" s="67" t="s">
        <v>21</v>
      </c>
      <c r="J30" s="18"/>
      <c r="K30" s="67" t="s">
        <v>21</v>
      </c>
      <c r="L30" s="17"/>
      <c r="M30" s="67" t="s">
        <v>21</v>
      </c>
      <c r="N30" s="17"/>
      <c r="O30" s="67" t="s">
        <v>21</v>
      </c>
      <c r="P30" s="17"/>
      <c r="Q30" s="67" t="s">
        <v>21</v>
      </c>
      <c r="R30" s="21"/>
      <c r="S30" s="67" t="s">
        <v>21</v>
      </c>
      <c r="T30" s="21"/>
    </row>
    <row r="31" spans="1:20" ht="11.25" customHeight="1" x14ac:dyDescent="0.2">
      <c r="A31" s="53" t="s">
        <v>42</v>
      </c>
      <c r="C31" s="9">
        <v>1878</v>
      </c>
      <c r="D31" s="18"/>
      <c r="E31" s="67" t="s">
        <v>21</v>
      </c>
      <c r="F31" s="20"/>
      <c r="G31" s="67" t="s">
        <v>21</v>
      </c>
      <c r="H31" s="20"/>
      <c r="I31" s="67" t="s">
        <v>21</v>
      </c>
      <c r="J31" s="20"/>
      <c r="K31" s="67" t="s">
        <v>21</v>
      </c>
      <c r="L31" s="20"/>
      <c r="M31" s="67" t="s">
        <v>21</v>
      </c>
      <c r="N31" s="20"/>
      <c r="O31" s="67" t="s">
        <v>21</v>
      </c>
      <c r="Q31" s="67" t="s">
        <v>21</v>
      </c>
      <c r="R31" s="20"/>
      <c r="S31" s="67" t="s">
        <v>21</v>
      </c>
      <c r="T31" s="20"/>
    </row>
    <row r="32" spans="1:20" ht="11.25" customHeight="1" x14ac:dyDescent="0.2">
      <c r="A32" s="53" t="s">
        <v>43</v>
      </c>
      <c r="C32" s="67" t="s">
        <v>21</v>
      </c>
      <c r="D32" s="18"/>
      <c r="E32" s="67" t="s">
        <v>21</v>
      </c>
      <c r="F32" s="18"/>
      <c r="G32" s="67" t="s">
        <v>21</v>
      </c>
      <c r="H32" s="19"/>
      <c r="I32" s="6">
        <v>770</v>
      </c>
      <c r="J32" s="18"/>
      <c r="K32" s="67" t="s">
        <v>21</v>
      </c>
      <c r="L32" s="17"/>
      <c r="M32" s="67" t="s">
        <v>21</v>
      </c>
      <c r="N32" s="17"/>
      <c r="O32" s="67" t="s">
        <v>21</v>
      </c>
      <c r="P32" s="17"/>
      <c r="Q32" s="67" t="s">
        <v>21</v>
      </c>
      <c r="R32" s="21"/>
      <c r="S32" s="67" t="s">
        <v>21</v>
      </c>
      <c r="T32" s="21"/>
    </row>
    <row r="33" spans="1:20" ht="11.25" customHeight="1" x14ac:dyDescent="0.2">
      <c r="A33" s="53" t="s">
        <v>44</v>
      </c>
      <c r="C33" s="9">
        <v>1400</v>
      </c>
      <c r="D33" s="23" t="s">
        <v>23</v>
      </c>
      <c r="E33" s="9">
        <v>4370</v>
      </c>
      <c r="F33" s="24"/>
      <c r="G33" s="9">
        <v>279</v>
      </c>
      <c r="H33" s="24"/>
      <c r="I33" s="67" t="s">
        <v>21</v>
      </c>
      <c r="J33" s="24"/>
      <c r="K33" s="9">
        <v>650</v>
      </c>
      <c r="L33" s="23" t="s">
        <v>23</v>
      </c>
      <c r="M33" s="35">
        <v>6192</v>
      </c>
      <c r="N33" s="24"/>
      <c r="O33" s="67" t="s">
        <v>21</v>
      </c>
      <c r="P33" s="24"/>
      <c r="Q33" s="67" t="s">
        <v>21</v>
      </c>
      <c r="R33" s="24"/>
      <c r="S33" s="35">
        <v>474</v>
      </c>
      <c r="T33" s="24"/>
    </row>
    <row r="34" spans="1:20" ht="11.25" customHeight="1" x14ac:dyDescent="0.2">
      <c r="A34" s="53" t="s">
        <v>45</v>
      </c>
      <c r="C34" s="67" t="s">
        <v>21</v>
      </c>
      <c r="D34" s="17"/>
      <c r="E34" s="67" t="s">
        <v>21</v>
      </c>
      <c r="F34" s="18"/>
      <c r="G34" s="67" t="s">
        <v>21</v>
      </c>
      <c r="H34" s="19"/>
      <c r="I34" s="67" t="s">
        <v>21</v>
      </c>
      <c r="J34" s="18"/>
      <c r="K34" s="67" t="s">
        <v>21</v>
      </c>
      <c r="L34" s="17"/>
      <c r="M34" s="65">
        <v>17</v>
      </c>
      <c r="N34" s="17"/>
      <c r="O34" s="67" t="s">
        <v>21</v>
      </c>
      <c r="P34" s="17"/>
      <c r="Q34" s="67" t="s">
        <v>21</v>
      </c>
      <c r="R34" s="21"/>
      <c r="S34" s="67" t="s">
        <v>21</v>
      </c>
      <c r="T34" s="21"/>
    </row>
    <row r="35" spans="1:20" ht="11.25" customHeight="1" x14ac:dyDescent="0.2">
      <c r="A35" s="53" t="s">
        <v>46</v>
      </c>
      <c r="C35" s="67" t="s">
        <v>21</v>
      </c>
      <c r="D35" s="17"/>
      <c r="E35" s="67" t="s">
        <v>21</v>
      </c>
      <c r="F35" s="17"/>
      <c r="G35" s="67" t="s">
        <v>21</v>
      </c>
      <c r="H35" s="19"/>
      <c r="I35" s="67" t="s">
        <v>21</v>
      </c>
      <c r="J35" s="18"/>
      <c r="K35" s="5" t="s">
        <v>21</v>
      </c>
      <c r="L35" s="17"/>
      <c r="M35" s="67" t="s">
        <v>21</v>
      </c>
      <c r="N35" s="17"/>
      <c r="O35" s="67" t="s">
        <v>21</v>
      </c>
      <c r="Q35" s="67" t="s">
        <v>21</v>
      </c>
      <c r="R35" s="20"/>
      <c r="S35" s="9">
        <v>7</v>
      </c>
      <c r="T35" s="21"/>
    </row>
    <row r="36" spans="1:20" ht="11.25" customHeight="1" x14ac:dyDescent="0.2">
      <c r="A36" s="53" t="s">
        <v>47</v>
      </c>
      <c r="C36" s="67" t="s">
        <v>21</v>
      </c>
      <c r="D36" s="17"/>
      <c r="E36" s="67" t="s">
        <v>21</v>
      </c>
      <c r="F36" s="18"/>
      <c r="G36" s="67" t="s">
        <v>21</v>
      </c>
      <c r="H36" s="19"/>
      <c r="I36" s="67" t="s">
        <v>21</v>
      </c>
      <c r="J36" s="18"/>
      <c r="K36" s="67" t="s">
        <v>21</v>
      </c>
      <c r="L36" s="17"/>
      <c r="M36" s="67" t="s">
        <v>21</v>
      </c>
      <c r="N36" s="17"/>
      <c r="O36" s="67" t="s">
        <v>21</v>
      </c>
      <c r="P36" s="17"/>
      <c r="Q36" s="67" t="s">
        <v>21</v>
      </c>
      <c r="R36" s="21"/>
      <c r="S36" s="67" t="s">
        <v>21</v>
      </c>
      <c r="T36" s="21"/>
    </row>
    <row r="37" spans="1:20" ht="11.25" customHeight="1" x14ac:dyDescent="0.2">
      <c r="A37" s="53" t="s">
        <v>48</v>
      </c>
      <c r="C37" s="67" t="s">
        <v>21</v>
      </c>
      <c r="D37" s="17"/>
      <c r="E37" s="67" t="s">
        <v>21</v>
      </c>
      <c r="F37" s="18"/>
      <c r="G37" s="67" t="s">
        <v>21</v>
      </c>
      <c r="H37" s="19"/>
      <c r="I37" s="67" t="s">
        <v>21</v>
      </c>
      <c r="J37" s="18"/>
      <c r="K37" s="67" t="s">
        <v>21</v>
      </c>
      <c r="L37" s="17"/>
      <c r="M37" s="67" t="s">
        <v>21</v>
      </c>
      <c r="N37" s="17"/>
      <c r="O37" s="67" t="s">
        <v>21</v>
      </c>
      <c r="P37" s="17"/>
      <c r="Q37" s="67" t="s">
        <v>21</v>
      </c>
      <c r="R37" s="21"/>
      <c r="S37" s="67" t="s">
        <v>21</v>
      </c>
      <c r="T37" s="21"/>
    </row>
    <row r="38" spans="1:20" ht="11.25" customHeight="1" x14ac:dyDescent="0.2">
      <c r="A38" s="53" t="s">
        <v>49</v>
      </c>
      <c r="C38" s="67" t="s">
        <v>21</v>
      </c>
      <c r="D38" s="17"/>
      <c r="E38" s="67" t="s">
        <v>21</v>
      </c>
      <c r="F38" s="18"/>
      <c r="G38" s="67" t="s">
        <v>21</v>
      </c>
      <c r="H38" s="19"/>
      <c r="I38" s="67" t="s">
        <v>21</v>
      </c>
      <c r="J38" s="18"/>
      <c r="K38" s="67" t="s">
        <v>21</v>
      </c>
      <c r="L38" s="17"/>
      <c r="M38" s="67" t="s">
        <v>21</v>
      </c>
      <c r="N38" s="17"/>
      <c r="O38" s="67" t="s">
        <v>21</v>
      </c>
      <c r="P38" s="17"/>
      <c r="Q38" s="67" t="s">
        <v>21</v>
      </c>
      <c r="R38" s="21"/>
      <c r="S38" s="67" t="s">
        <v>21</v>
      </c>
      <c r="T38" s="21"/>
    </row>
    <row r="39" spans="1:20" ht="11.25" customHeight="1" x14ac:dyDescent="0.2">
      <c r="A39" s="53" t="s">
        <v>50</v>
      </c>
      <c r="C39" s="67" t="s">
        <v>21</v>
      </c>
      <c r="D39" s="17"/>
      <c r="E39" s="67" t="s">
        <v>21</v>
      </c>
      <c r="F39" s="18"/>
      <c r="G39" s="67" t="s">
        <v>21</v>
      </c>
      <c r="H39" s="19"/>
      <c r="I39" s="67" t="s">
        <v>21</v>
      </c>
      <c r="J39" s="18"/>
      <c r="K39" s="67" t="s">
        <v>21</v>
      </c>
      <c r="L39" s="17"/>
      <c r="M39" s="67" t="s">
        <v>21</v>
      </c>
      <c r="N39" s="17"/>
      <c r="O39" s="67" t="s">
        <v>21</v>
      </c>
      <c r="P39" s="17"/>
      <c r="Q39" s="67" t="s">
        <v>21</v>
      </c>
      <c r="R39" s="21"/>
      <c r="S39" s="67" t="s">
        <v>21</v>
      </c>
      <c r="T39" s="21"/>
    </row>
    <row r="40" spans="1:20" ht="11.25" customHeight="1" x14ac:dyDescent="0.2">
      <c r="A40" s="53" t="s">
        <v>51</v>
      </c>
      <c r="C40" s="67" t="s">
        <v>21</v>
      </c>
      <c r="D40" s="17"/>
      <c r="E40" s="67" t="s">
        <v>21</v>
      </c>
      <c r="F40" s="18"/>
      <c r="G40" s="67" t="s">
        <v>21</v>
      </c>
      <c r="H40" s="19"/>
      <c r="I40" s="67" t="s">
        <v>21</v>
      </c>
      <c r="J40" s="18"/>
      <c r="K40" s="67" t="s">
        <v>21</v>
      </c>
      <c r="L40" s="17"/>
      <c r="M40" s="67" t="s">
        <v>21</v>
      </c>
      <c r="N40" s="17"/>
      <c r="O40" s="67" t="s">
        <v>21</v>
      </c>
      <c r="P40" s="17"/>
      <c r="Q40" s="67" t="s">
        <v>21</v>
      </c>
      <c r="R40" s="21"/>
      <c r="S40" s="67" t="s">
        <v>21</v>
      </c>
      <c r="T40" s="21"/>
    </row>
    <row r="41" spans="1:20" ht="11.25" customHeight="1" x14ac:dyDescent="0.2">
      <c r="A41" s="53" t="s">
        <v>52</v>
      </c>
      <c r="C41" s="67" t="s">
        <v>21</v>
      </c>
      <c r="D41" s="17"/>
      <c r="E41" s="6">
        <v>542</v>
      </c>
      <c r="F41" s="18"/>
      <c r="G41" s="6">
        <v>36</v>
      </c>
      <c r="H41" s="17"/>
      <c r="I41" s="67" t="s">
        <v>21</v>
      </c>
      <c r="J41" s="18"/>
      <c r="K41" s="67" t="s">
        <v>21</v>
      </c>
      <c r="L41" s="17"/>
      <c r="M41" s="67" t="s">
        <v>21</v>
      </c>
      <c r="N41" s="17"/>
      <c r="O41" s="67" t="s">
        <v>21</v>
      </c>
      <c r="P41" s="17"/>
      <c r="Q41" s="67" t="s">
        <v>21</v>
      </c>
      <c r="R41" s="22"/>
      <c r="S41" s="67" t="s">
        <v>21</v>
      </c>
      <c r="T41" s="21"/>
    </row>
    <row r="42" spans="1:20" ht="11.25" customHeight="1" x14ac:dyDescent="0.2">
      <c r="A42" s="53" t="s">
        <v>53</v>
      </c>
      <c r="C42" s="67" t="s">
        <v>21</v>
      </c>
      <c r="D42" s="17"/>
      <c r="E42" s="67" t="s">
        <v>21</v>
      </c>
      <c r="F42" s="18"/>
      <c r="G42" s="6">
        <v>70</v>
      </c>
      <c r="H42" s="19" t="s">
        <v>23</v>
      </c>
      <c r="I42" s="67" t="s">
        <v>21</v>
      </c>
      <c r="J42" s="17"/>
      <c r="K42" s="67" t="s">
        <v>21</v>
      </c>
      <c r="L42" s="17"/>
      <c r="M42" s="67" t="s">
        <v>21</v>
      </c>
      <c r="N42" s="17"/>
      <c r="O42" s="67" t="s">
        <v>21</v>
      </c>
      <c r="P42" s="17"/>
      <c r="Q42" s="67" t="s">
        <v>21</v>
      </c>
      <c r="R42" s="21"/>
      <c r="S42" s="67" t="s">
        <v>21</v>
      </c>
      <c r="T42" s="21"/>
    </row>
    <row r="43" spans="1:20" ht="11.25" customHeight="1" x14ac:dyDescent="0.2">
      <c r="A43" s="53" t="s">
        <v>54</v>
      </c>
      <c r="C43" s="67" t="s">
        <v>21</v>
      </c>
      <c r="D43" s="17"/>
      <c r="E43" s="67" t="s">
        <v>21</v>
      </c>
      <c r="F43" s="18"/>
      <c r="G43" s="67" t="s">
        <v>21</v>
      </c>
      <c r="H43" s="19"/>
      <c r="I43" s="67" t="s">
        <v>21</v>
      </c>
      <c r="J43" s="17"/>
      <c r="K43" s="67" t="s">
        <v>21</v>
      </c>
      <c r="L43" s="17"/>
      <c r="M43" s="67" t="s">
        <v>21</v>
      </c>
      <c r="N43" s="17"/>
      <c r="O43" s="67" t="s">
        <v>21</v>
      </c>
      <c r="P43" s="17"/>
      <c r="Q43" s="67" t="s">
        <v>21</v>
      </c>
      <c r="R43" s="22"/>
      <c r="S43" s="6">
        <v>6</v>
      </c>
      <c r="T43" s="21"/>
    </row>
    <row r="44" spans="1:20" ht="11.25" customHeight="1" x14ac:dyDescent="0.2">
      <c r="A44" s="53" t="s">
        <v>55</v>
      </c>
      <c r="C44" s="67" t="s">
        <v>21</v>
      </c>
      <c r="D44" s="17"/>
      <c r="E44" s="67" t="s">
        <v>21</v>
      </c>
      <c r="F44" s="18"/>
      <c r="G44" s="6">
        <v>1400</v>
      </c>
      <c r="H44" s="17" t="s">
        <v>23</v>
      </c>
      <c r="I44" s="67" t="s">
        <v>21</v>
      </c>
      <c r="J44" s="17"/>
      <c r="K44" s="67" t="s">
        <v>21</v>
      </c>
      <c r="L44" s="17"/>
      <c r="M44" s="67" t="s">
        <v>21</v>
      </c>
      <c r="N44" s="17"/>
      <c r="O44" s="67" t="s">
        <v>21</v>
      </c>
      <c r="Q44" s="5">
        <v>4000</v>
      </c>
      <c r="R44" s="20"/>
      <c r="S44" s="67" t="s">
        <v>21</v>
      </c>
      <c r="T44" s="21"/>
    </row>
    <row r="45" spans="1:20" ht="11.25" customHeight="1" x14ac:dyDescent="0.2">
      <c r="A45" s="53" t="s">
        <v>56</v>
      </c>
      <c r="C45" s="67" t="s">
        <v>21</v>
      </c>
      <c r="D45" s="17"/>
      <c r="E45" s="67" t="s">
        <v>21</v>
      </c>
      <c r="F45" s="18"/>
      <c r="G45" s="67" t="s">
        <v>21</v>
      </c>
      <c r="H45" s="19"/>
      <c r="I45" s="6">
        <v>16</v>
      </c>
      <c r="J45" s="17"/>
      <c r="K45" s="67" t="s">
        <v>21</v>
      </c>
      <c r="L45" s="17"/>
      <c r="M45" s="67" t="s">
        <v>21</v>
      </c>
      <c r="N45" s="17"/>
      <c r="O45" s="67" t="s">
        <v>21</v>
      </c>
      <c r="P45" s="17"/>
      <c r="Q45" s="67" t="s">
        <v>21</v>
      </c>
      <c r="R45" s="21"/>
      <c r="S45" s="6">
        <v>443</v>
      </c>
      <c r="T45" s="21"/>
    </row>
    <row r="46" spans="1:20" ht="11.25" customHeight="1" x14ac:dyDescent="0.25">
      <c r="A46" s="188" t="s">
        <v>57</v>
      </c>
      <c r="B46" s="188"/>
      <c r="C46" s="188"/>
      <c r="D46" s="188"/>
      <c r="E46" s="188"/>
      <c r="F46" s="188"/>
      <c r="G46" s="188"/>
      <c r="H46" s="188"/>
      <c r="I46" s="188"/>
      <c r="J46" s="188"/>
      <c r="K46" s="188"/>
      <c r="L46" s="188"/>
      <c r="M46" s="188"/>
      <c r="N46" s="188"/>
      <c r="O46" s="188"/>
      <c r="P46" s="188"/>
      <c r="Q46" s="188"/>
      <c r="R46" s="188"/>
      <c r="S46" s="188"/>
      <c r="T46" s="188"/>
    </row>
    <row r="47" spans="1:20" ht="11.25" customHeight="1" x14ac:dyDescent="0.25">
      <c r="A47" s="183" t="s">
        <v>196</v>
      </c>
      <c r="B47" s="183"/>
      <c r="C47" s="183"/>
      <c r="D47" s="183"/>
      <c r="E47" s="183"/>
      <c r="F47" s="183"/>
      <c r="G47" s="183"/>
      <c r="H47" s="183"/>
      <c r="I47" s="183"/>
      <c r="J47" s="183"/>
      <c r="K47" s="183"/>
      <c r="L47" s="183"/>
      <c r="M47" s="183"/>
      <c r="N47" s="183"/>
      <c r="O47" s="183"/>
      <c r="P47" s="183"/>
      <c r="Q47" s="183"/>
      <c r="R47" s="183"/>
      <c r="S47" s="183"/>
      <c r="T47" s="183"/>
    </row>
    <row r="48" spans="1:20" ht="11.25" customHeight="1" x14ac:dyDescent="0.25">
      <c r="A48" s="183" t="s">
        <v>202</v>
      </c>
      <c r="B48" s="183"/>
      <c r="C48" s="183"/>
      <c r="D48" s="183"/>
      <c r="E48" s="183"/>
      <c r="F48" s="183"/>
      <c r="G48" s="183"/>
      <c r="H48" s="183"/>
      <c r="I48" s="183"/>
      <c r="J48" s="183"/>
      <c r="K48" s="183"/>
      <c r="L48" s="183"/>
      <c r="M48" s="183"/>
      <c r="N48" s="183"/>
      <c r="O48" s="183"/>
      <c r="P48" s="183"/>
      <c r="Q48" s="183"/>
      <c r="R48" s="183"/>
      <c r="S48" s="183"/>
      <c r="T48" s="183"/>
    </row>
    <row r="49" spans="1:20" ht="11.25" customHeight="1" x14ac:dyDescent="0.25">
      <c r="A49" s="183"/>
      <c r="B49" s="183"/>
      <c r="C49" s="183"/>
      <c r="D49" s="183"/>
      <c r="E49" s="183"/>
      <c r="F49" s="183"/>
      <c r="G49" s="183"/>
      <c r="H49" s="183"/>
      <c r="I49" s="183"/>
      <c r="J49" s="183"/>
      <c r="K49" s="183"/>
      <c r="L49" s="183"/>
      <c r="M49" s="183"/>
      <c r="N49" s="183"/>
      <c r="O49" s="183"/>
      <c r="P49" s="183"/>
      <c r="Q49" s="183"/>
      <c r="R49" s="183"/>
      <c r="S49" s="183"/>
      <c r="T49" s="183"/>
    </row>
    <row r="50" spans="1:20" ht="11.25" customHeight="1" x14ac:dyDescent="0.25">
      <c r="A50" s="183" t="s">
        <v>195</v>
      </c>
      <c r="B50" s="183"/>
      <c r="C50" s="183"/>
      <c r="D50" s="183"/>
      <c r="E50" s="183"/>
      <c r="F50" s="183"/>
      <c r="G50" s="183"/>
      <c r="H50" s="183"/>
      <c r="I50" s="183"/>
      <c r="J50" s="183"/>
      <c r="K50" s="183"/>
      <c r="L50" s="183"/>
      <c r="M50" s="183"/>
      <c r="N50" s="183"/>
      <c r="O50" s="183"/>
      <c r="P50" s="183"/>
      <c r="Q50" s="183"/>
      <c r="R50" s="183"/>
      <c r="S50" s="183"/>
      <c r="T50" s="183"/>
    </row>
    <row r="51" spans="1:20" ht="11.25" customHeight="1" x14ac:dyDescent="0.25">
      <c r="A51" s="184"/>
      <c r="B51" s="184"/>
      <c r="C51" s="184"/>
      <c r="D51" s="184"/>
      <c r="E51" s="184"/>
      <c r="F51" s="184"/>
      <c r="G51" s="184"/>
      <c r="H51" s="184"/>
      <c r="I51" s="184"/>
      <c r="J51" s="184"/>
      <c r="K51" s="184"/>
      <c r="L51" s="184"/>
      <c r="M51" s="184"/>
      <c r="N51" s="184"/>
      <c r="O51" s="184"/>
      <c r="P51" s="184"/>
      <c r="Q51" s="184"/>
      <c r="R51" s="184"/>
      <c r="S51" s="184"/>
      <c r="T51" s="184"/>
    </row>
    <row r="52" spans="1:20" ht="11.25" customHeight="1" x14ac:dyDescent="0.25">
      <c r="A52" s="63"/>
      <c r="B52" s="63"/>
      <c r="C52" s="185" t="s">
        <v>1</v>
      </c>
      <c r="D52" s="185"/>
      <c r="E52" s="185"/>
      <c r="F52" s="185"/>
      <c r="G52" s="185"/>
      <c r="H52" s="185"/>
      <c r="I52" s="185"/>
      <c r="J52" s="185"/>
      <c r="K52" s="185"/>
      <c r="L52" s="185"/>
      <c r="M52" s="185"/>
      <c r="N52" s="185"/>
      <c r="O52" s="185"/>
      <c r="P52" s="185"/>
      <c r="Q52" s="185"/>
      <c r="R52" s="185"/>
      <c r="S52" s="68"/>
      <c r="T52" s="68"/>
    </row>
    <row r="53" spans="1:20" ht="11.25" customHeight="1" x14ac:dyDescent="0.25">
      <c r="K53" s="14" t="s">
        <v>2</v>
      </c>
    </row>
    <row r="54" spans="1:20" ht="11.25" customHeight="1" x14ac:dyDescent="0.25">
      <c r="C54" s="187" t="s">
        <v>3</v>
      </c>
      <c r="D54" s="187"/>
      <c r="E54" s="187"/>
      <c r="F54" s="187"/>
      <c r="G54" s="187"/>
      <c r="H54" s="187"/>
      <c r="I54" s="187"/>
      <c r="K54" s="14" t="s">
        <v>4</v>
      </c>
      <c r="L54" s="14"/>
      <c r="M54" s="54" t="s">
        <v>5</v>
      </c>
      <c r="N54" s="14"/>
      <c r="O54" s="184" t="s">
        <v>6</v>
      </c>
      <c r="P54" s="184"/>
      <c r="Q54" s="184"/>
      <c r="R54" s="14"/>
      <c r="S54" s="50" t="s">
        <v>7</v>
      </c>
      <c r="T54" s="55"/>
    </row>
    <row r="55" spans="1:20" ht="11.25" customHeight="1" x14ac:dyDescent="0.25">
      <c r="C55" s="47"/>
      <c r="D55" s="49"/>
      <c r="E55" s="47"/>
      <c r="F55" s="49"/>
      <c r="G55" s="190" t="s">
        <v>8</v>
      </c>
      <c r="H55" s="190"/>
      <c r="I55" s="190"/>
      <c r="K55" s="14" t="s">
        <v>9</v>
      </c>
      <c r="M55" s="54" t="s">
        <v>4</v>
      </c>
      <c r="O55" s="14" t="s">
        <v>10</v>
      </c>
      <c r="P55" s="14"/>
      <c r="Q55" s="14"/>
      <c r="R55" s="14"/>
      <c r="S55" s="48" t="s">
        <v>10</v>
      </c>
      <c r="T55" s="49"/>
    </row>
    <row r="56" spans="1:20" s="41" customFormat="1" ht="11.25" customHeight="1" x14ac:dyDescent="0.25">
      <c r="A56" s="12" t="s">
        <v>171</v>
      </c>
      <c r="B56" s="12"/>
      <c r="C56" s="50" t="s">
        <v>11</v>
      </c>
      <c r="D56" s="50"/>
      <c r="E56" s="50" t="s">
        <v>12</v>
      </c>
      <c r="F56" s="50"/>
      <c r="G56" s="50" t="s">
        <v>13</v>
      </c>
      <c r="H56" s="50"/>
      <c r="I56" s="50" t="s">
        <v>14</v>
      </c>
      <c r="J56" s="12"/>
      <c r="K56" s="12" t="s">
        <v>15</v>
      </c>
      <c r="L56" s="12"/>
      <c r="M56" s="56" t="s">
        <v>16</v>
      </c>
      <c r="N56" s="12"/>
      <c r="O56" s="12" t="s">
        <v>17</v>
      </c>
      <c r="P56" s="12"/>
      <c r="Q56" s="12" t="s">
        <v>18</v>
      </c>
      <c r="R56" s="12"/>
      <c r="S56" s="50" t="s">
        <v>19</v>
      </c>
      <c r="T56" s="52"/>
    </row>
    <row r="57" spans="1:20" ht="11.25" customHeight="1" x14ac:dyDescent="0.2">
      <c r="A57" s="53" t="s">
        <v>58</v>
      </c>
      <c r="C57" s="67" t="s">
        <v>21</v>
      </c>
      <c r="D57" s="20"/>
      <c r="E57" s="67" t="s">
        <v>21</v>
      </c>
      <c r="F57" s="18"/>
      <c r="G57" s="67" t="s">
        <v>21</v>
      </c>
      <c r="H57" s="19"/>
      <c r="I57" s="67" t="s">
        <v>21</v>
      </c>
      <c r="J57" s="17"/>
      <c r="K57" s="67" t="s">
        <v>21</v>
      </c>
      <c r="L57" s="17"/>
      <c r="M57" s="67" t="s">
        <v>21</v>
      </c>
      <c r="N57" s="17"/>
      <c r="O57" s="67" t="s">
        <v>21</v>
      </c>
      <c r="P57" s="17"/>
      <c r="Q57" s="67" t="s">
        <v>21</v>
      </c>
      <c r="R57" s="21"/>
      <c r="S57" s="6">
        <v>38</v>
      </c>
      <c r="T57" s="21"/>
    </row>
    <row r="58" spans="1:20" ht="11.25" customHeight="1" x14ac:dyDescent="0.2">
      <c r="A58" s="53" t="s">
        <v>59</v>
      </c>
      <c r="C58" s="6">
        <v>499</v>
      </c>
      <c r="D58" s="20"/>
      <c r="E58" s="67" t="s">
        <v>21</v>
      </c>
      <c r="F58" s="18"/>
      <c r="G58" s="6">
        <v>293</v>
      </c>
      <c r="H58" s="17"/>
      <c r="I58" s="6">
        <v>1</v>
      </c>
      <c r="J58" s="19"/>
      <c r="K58" s="67" t="s">
        <v>21</v>
      </c>
      <c r="L58" s="17"/>
      <c r="M58" s="67" t="s">
        <v>21</v>
      </c>
      <c r="N58" s="17"/>
      <c r="O58" s="67" t="s">
        <v>21</v>
      </c>
      <c r="P58" s="17"/>
      <c r="Q58" s="67" t="s">
        <v>21</v>
      </c>
      <c r="R58" s="21"/>
      <c r="S58" s="6">
        <v>9</v>
      </c>
      <c r="T58" s="21"/>
    </row>
    <row r="59" spans="1:20" ht="11.25" customHeight="1" x14ac:dyDescent="0.2">
      <c r="A59" s="53" t="s">
        <v>60</v>
      </c>
      <c r="C59" s="6">
        <v>3054</v>
      </c>
      <c r="D59" s="20"/>
      <c r="E59" s="6">
        <v>5679</v>
      </c>
      <c r="F59" s="17"/>
      <c r="G59" s="6">
        <v>3640</v>
      </c>
      <c r="H59" s="19"/>
      <c r="I59" s="67" t="s">
        <v>21</v>
      </c>
      <c r="J59" s="18"/>
      <c r="K59" s="6">
        <v>11500</v>
      </c>
      <c r="L59" s="17" t="s">
        <v>23</v>
      </c>
      <c r="M59" s="6">
        <v>700</v>
      </c>
      <c r="N59" s="17"/>
      <c r="O59" s="9">
        <v>8000</v>
      </c>
      <c r="P59" s="18" t="s">
        <v>23</v>
      </c>
      <c r="Q59" s="9">
        <v>1500</v>
      </c>
      <c r="R59" s="20"/>
      <c r="S59" s="6">
        <v>1147</v>
      </c>
      <c r="T59" s="20"/>
    </row>
    <row r="60" spans="1:20" ht="11.25" customHeight="1" x14ac:dyDescent="0.2">
      <c r="A60" s="53" t="s">
        <v>61</v>
      </c>
      <c r="C60" s="67" t="s">
        <v>21</v>
      </c>
      <c r="D60" s="20"/>
      <c r="E60" s="67" t="s">
        <v>21</v>
      </c>
      <c r="F60" s="18"/>
      <c r="G60" s="67" t="s">
        <v>21</v>
      </c>
      <c r="H60" s="19"/>
      <c r="I60" s="67" t="s">
        <v>62</v>
      </c>
      <c r="J60" s="17"/>
      <c r="K60" s="67" t="s">
        <v>21</v>
      </c>
      <c r="L60" s="17"/>
      <c r="M60" s="67" t="s">
        <v>21</v>
      </c>
      <c r="N60" s="17"/>
      <c r="O60" s="67" t="s">
        <v>21</v>
      </c>
      <c r="P60" s="17"/>
      <c r="Q60" s="67" t="s">
        <v>21</v>
      </c>
      <c r="R60" s="22"/>
      <c r="S60" s="6">
        <v>64</v>
      </c>
      <c r="T60" s="20"/>
    </row>
    <row r="61" spans="1:20" ht="11.25" customHeight="1" x14ac:dyDescent="0.2">
      <c r="A61" s="53" t="s">
        <v>63</v>
      </c>
      <c r="C61" s="67" t="s">
        <v>21</v>
      </c>
      <c r="D61" s="18"/>
      <c r="E61" s="67" t="s">
        <v>21</v>
      </c>
      <c r="F61" s="20"/>
      <c r="G61" s="67" t="s">
        <v>64</v>
      </c>
      <c r="H61" s="20"/>
      <c r="I61" s="67" t="s">
        <v>21</v>
      </c>
      <c r="J61" s="20"/>
      <c r="K61" s="67" t="s">
        <v>21</v>
      </c>
      <c r="L61" s="17"/>
      <c r="M61" s="67" t="s">
        <v>21</v>
      </c>
      <c r="N61" s="17"/>
      <c r="O61" s="67" t="s">
        <v>21</v>
      </c>
      <c r="P61" s="17"/>
      <c r="Q61" s="67" t="s">
        <v>21</v>
      </c>
      <c r="R61" s="21"/>
      <c r="S61" s="67" t="s">
        <v>21</v>
      </c>
      <c r="T61" s="20"/>
    </row>
    <row r="62" spans="1:20" ht="11.25" customHeight="1" x14ac:dyDescent="0.2">
      <c r="A62" s="53" t="s">
        <v>65</v>
      </c>
      <c r="C62" s="67" t="s">
        <v>21</v>
      </c>
      <c r="D62" s="21"/>
      <c r="E62" s="67" t="s">
        <v>21</v>
      </c>
      <c r="F62" s="18"/>
      <c r="G62" s="6">
        <v>38</v>
      </c>
      <c r="H62" s="17"/>
      <c r="I62" s="6">
        <v>14</v>
      </c>
      <c r="J62" s="18"/>
      <c r="K62" s="67" t="s">
        <v>21</v>
      </c>
      <c r="L62" s="17"/>
      <c r="M62" s="67" t="s">
        <v>21</v>
      </c>
      <c r="N62" s="17"/>
      <c r="O62" s="67" t="s">
        <v>21</v>
      </c>
      <c r="P62" s="17"/>
      <c r="Q62" s="67" t="s">
        <v>21</v>
      </c>
      <c r="R62" s="21"/>
      <c r="S62" s="67" t="s">
        <v>21</v>
      </c>
      <c r="T62" s="20"/>
    </row>
    <row r="63" spans="1:20" ht="11.25" customHeight="1" x14ac:dyDescent="0.2">
      <c r="A63" s="53" t="s">
        <v>66</v>
      </c>
      <c r="C63" s="6">
        <v>1536</v>
      </c>
      <c r="D63" s="18"/>
      <c r="E63" s="67" t="s">
        <v>21</v>
      </c>
      <c r="F63" s="18"/>
      <c r="G63" s="6">
        <v>200</v>
      </c>
      <c r="H63" s="19" t="s">
        <v>23</v>
      </c>
      <c r="I63" s="67" t="s">
        <v>21</v>
      </c>
      <c r="J63" s="18"/>
      <c r="K63" s="67" t="s">
        <v>21</v>
      </c>
      <c r="L63" s="17"/>
      <c r="M63" s="67" t="s">
        <v>21</v>
      </c>
      <c r="N63" s="17"/>
      <c r="O63" s="67" t="s">
        <v>21</v>
      </c>
      <c r="P63" s="17"/>
      <c r="Q63" s="67" t="s">
        <v>21</v>
      </c>
      <c r="R63" s="21"/>
      <c r="S63" s="6">
        <v>133</v>
      </c>
      <c r="T63" s="20"/>
    </row>
    <row r="64" spans="1:20" ht="11.25" customHeight="1" x14ac:dyDescent="0.2">
      <c r="A64" s="53" t="s">
        <v>67</v>
      </c>
      <c r="C64" s="67" t="s">
        <v>21</v>
      </c>
      <c r="D64" s="18"/>
      <c r="E64" s="67" t="s">
        <v>21</v>
      </c>
      <c r="F64" s="18"/>
      <c r="G64" s="69">
        <v>124</v>
      </c>
      <c r="H64" s="19"/>
      <c r="I64" s="67" t="s">
        <v>21</v>
      </c>
      <c r="J64" s="17"/>
      <c r="K64" s="67" t="s">
        <v>21</v>
      </c>
      <c r="L64" s="17"/>
      <c r="M64" s="67" t="s">
        <v>21</v>
      </c>
      <c r="N64" s="17"/>
      <c r="O64" s="67" t="s">
        <v>21</v>
      </c>
      <c r="Q64" s="67" t="s">
        <v>21</v>
      </c>
      <c r="R64" s="20"/>
      <c r="S64" s="6">
        <v>88</v>
      </c>
      <c r="T64" s="20"/>
    </row>
    <row r="65" spans="1:20" ht="11.25" customHeight="1" x14ac:dyDescent="0.2">
      <c r="A65" s="53" t="s">
        <v>68</v>
      </c>
      <c r="C65" s="67" t="s">
        <v>21</v>
      </c>
      <c r="D65" s="18"/>
      <c r="E65" s="67" t="s">
        <v>21</v>
      </c>
      <c r="F65" s="18"/>
      <c r="G65" s="70" t="s">
        <v>21</v>
      </c>
      <c r="H65" s="19"/>
      <c r="I65" s="67" t="s">
        <v>21</v>
      </c>
      <c r="J65" s="17"/>
      <c r="K65" s="67" t="s">
        <v>21</v>
      </c>
      <c r="L65" s="17"/>
      <c r="M65" s="67" t="s">
        <v>21</v>
      </c>
      <c r="N65" s="17"/>
      <c r="O65" s="67" t="s">
        <v>21</v>
      </c>
      <c r="P65" s="17"/>
      <c r="Q65" s="67" t="s">
        <v>21</v>
      </c>
      <c r="R65" s="21"/>
      <c r="S65" s="67" t="s">
        <v>21</v>
      </c>
      <c r="T65" s="20"/>
    </row>
    <row r="66" spans="1:20" ht="11.25" customHeight="1" x14ac:dyDescent="0.2">
      <c r="A66" s="53" t="s">
        <v>69</v>
      </c>
      <c r="C66" s="67" t="s">
        <v>21</v>
      </c>
      <c r="D66" s="18"/>
      <c r="E66" s="67" t="s">
        <v>21</v>
      </c>
      <c r="F66" s="18"/>
      <c r="G66" s="67" t="s">
        <v>70</v>
      </c>
      <c r="H66" s="19"/>
      <c r="I66" s="67" t="s">
        <v>21</v>
      </c>
      <c r="J66" s="18"/>
      <c r="K66" s="6">
        <v>16777</v>
      </c>
      <c r="L66" s="17"/>
      <c r="M66" s="6" t="s">
        <v>21</v>
      </c>
      <c r="N66" s="17"/>
      <c r="O66" s="6" t="s">
        <v>21</v>
      </c>
      <c r="P66" s="17"/>
      <c r="Q66" s="6" t="s">
        <v>21</v>
      </c>
      <c r="R66" s="21"/>
      <c r="S66" s="6" t="s">
        <v>21</v>
      </c>
      <c r="T66" s="20"/>
    </row>
    <row r="67" spans="1:20" ht="11.25" customHeight="1" x14ac:dyDescent="0.25">
      <c r="A67" s="53" t="s">
        <v>71</v>
      </c>
      <c r="C67" s="6">
        <v>300</v>
      </c>
      <c r="D67" s="18" t="s">
        <v>23</v>
      </c>
      <c r="E67" s="6">
        <v>2765</v>
      </c>
      <c r="F67" s="17"/>
      <c r="G67" s="6">
        <v>79</v>
      </c>
      <c r="H67" s="19" t="s">
        <v>23</v>
      </c>
      <c r="I67" s="6" t="s">
        <v>21</v>
      </c>
      <c r="J67" s="18"/>
      <c r="K67" s="6">
        <v>4300</v>
      </c>
      <c r="L67" s="17" t="s">
        <v>23</v>
      </c>
      <c r="M67" s="6">
        <v>6961</v>
      </c>
      <c r="N67" s="17"/>
      <c r="O67" s="9">
        <v>2400</v>
      </c>
      <c r="P67" s="18" t="s">
        <v>23</v>
      </c>
      <c r="Q67" s="6" t="s">
        <v>21</v>
      </c>
      <c r="R67" s="20"/>
      <c r="S67" s="6">
        <v>108</v>
      </c>
      <c r="T67" s="20"/>
    </row>
    <row r="68" spans="1:20" ht="11.25" customHeight="1" x14ac:dyDescent="0.25">
      <c r="A68" s="53" t="s">
        <v>72</v>
      </c>
      <c r="C68" s="16" t="s">
        <v>21</v>
      </c>
      <c r="D68" s="18"/>
      <c r="E68" s="16" t="s">
        <v>21</v>
      </c>
      <c r="F68" s="18"/>
      <c r="G68" s="16" t="s">
        <v>21</v>
      </c>
      <c r="H68" s="19"/>
      <c r="I68" s="16" t="s">
        <v>21</v>
      </c>
      <c r="J68" s="18"/>
      <c r="K68" s="16" t="s">
        <v>21</v>
      </c>
      <c r="L68" s="17"/>
      <c r="M68" s="16" t="s">
        <v>21</v>
      </c>
      <c r="N68" s="17"/>
      <c r="O68" s="16" t="s">
        <v>21</v>
      </c>
      <c r="P68" s="17"/>
      <c r="Q68" s="16" t="s">
        <v>21</v>
      </c>
      <c r="R68" s="21"/>
      <c r="S68" s="16" t="s">
        <v>21</v>
      </c>
      <c r="T68" s="20"/>
    </row>
    <row r="69" spans="1:20" ht="11.25" customHeight="1" x14ac:dyDescent="0.25">
      <c r="A69" s="53" t="s">
        <v>73</v>
      </c>
      <c r="C69" s="6">
        <v>1769</v>
      </c>
      <c r="D69" s="18"/>
      <c r="E69" s="6" t="s">
        <v>21</v>
      </c>
      <c r="F69" s="18"/>
      <c r="G69" s="6" t="s">
        <v>21</v>
      </c>
      <c r="H69" s="19"/>
      <c r="I69" s="6" t="s">
        <v>21</v>
      </c>
      <c r="J69" s="17"/>
      <c r="K69" s="6" t="s">
        <v>21</v>
      </c>
      <c r="L69" s="17"/>
      <c r="M69" s="6" t="s">
        <v>21</v>
      </c>
      <c r="N69" s="17"/>
      <c r="O69" s="6" t="s">
        <v>21</v>
      </c>
      <c r="Q69" s="6" t="s">
        <v>21</v>
      </c>
      <c r="R69" s="20"/>
      <c r="S69" s="6" t="s">
        <v>21</v>
      </c>
      <c r="T69" s="20"/>
    </row>
    <row r="70" spans="1:20" ht="11.25" customHeight="1" x14ac:dyDescent="0.25">
      <c r="A70" s="53" t="s">
        <v>74</v>
      </c>
      <c r="C70" s="6" t="s">
        <v>21</v>
      </c>
      <c r="D70" s="18"/>
      <c r="E70" s="6" t="s">
        <v>21</v>
      </c>
      <c r="F70" s="18"/>
      <c r="G70" s="6">
        <v>40</v>
      </c>
      <c r="H70" s="17" t="s">
        <v>23</v>
      </c>
      <c r="I70" s="6">
        <v>130</v>
      </c>
      <c r="J70" s="17" t="s">
        <v>23</v>
      </c>
      <c r="K70" s="6" t="s">
        <v>21</v>
      </c>
      <c r="L70" s="17"/>
      <c r="M70" s="6" t="s">
        <v>21</v>
      </c>
      <c r="N70" s="17"/>
      <c r="O70" s="6" t="s">
        <v>21</v>
      </c>
      <c r="P70" s="17"/>
      <c r="Q70" s="6" t="s">
        <v>21</v>
      </c>
      <c r="R70" s="21"/>
      <c r="S70" s="6" t="s">
        <v>21</v>
      </c>
      <c r="T70" s="20"/>
    </row>
    <row r="71" spans="1:20" ht="11.25" customHeight="1" x14ac:dyDescent="0.25">
      <c r="A71" s="53" t="s">
        <v>75</v>
      </c>
      <c r="C71" s="16" t="s">
        <v>21</v>
      </c>
      <c r="D71" s="18"/>
      <c r="E71" s="16" t="s">
        <v>21</v>
      </c>
      <c r="F71" s="18"/>
      <c r="G71" s="16" t="s">
        <v>21</v>
      </c>
      <c r="H71" s="19"/>
      <c r="I71" s="16" t="s">
        <v>21</v>
      </c>
      <c r="J71" s="17"/>
      <c r="K71" s="16" t="s">
        <v>21</v>
      </c>
      <c r="L71" s="17"/>
      <c r="M71" s="16" t="s">
        <v>21</v>
      </c>
      <c r="N71" s="17"/>
      <c r="O71" s="16" t="s">
        <v>21</v>
      </c>
      <c r="P71" s="17"/>
      <c r="Q71" s="16" t="s">
        <v>21</v>
      </c>
      <c r="R71" s="21"/>
      <c r="S71" s="6">
        <v>147</v>
      </c>
      <c r="T71" s="20"/>
    </row>
    <row r="72" spans="1:20" ht="11.25" customHeight="1" x14ac:dyDescent="0.25">
      <c r="A72" s="71" t="s">
        <v>76</v>
      </c>
      <c r="C72" s="8">
        <v>12800</v>
      </c>
      <c r="D72" s="63"/>
      <c r="E72" s="8">
        <v>15500</v>
      </c>
      <c r="F72" s="63"/>
      <c r="G72" s="8">
        <v>8310</v>
      </c>
      <c r="H72" s="63"/>
      <c r="I72" s="8">
        <v>2400</v>
      </c>
      <c r="J72" s="31" t="s">
        <v>23</v>
      </c>
      <c r="K72" s="8">
        <v>33200</v>
      </c>
      <c r="L72" s="31" t="s">
        <v>23</v>
      </c>
      <c r="M72" s="8">
        <v>16800</v>
      </c>
      <c r="N72" s="63"/>
      <c r="O72" s="8">
        <v>11500</v>
      </c>
      <c r="P72" s="30" t="s">
        <v>23</v>
      </c>
      <c r="Q72" s="8">
        <v>20900</v>
      </c>
      <c r="R72" s="63"/>
      <c r="S72" s="8">
        <v>2860</v>
      </c>
      <c r="T72" s="63"/>
    </row>
    <row r="73" spans="1:20" ht="11.25" customHeight="1" x14ac:dyDescent="0.25">
      <c r="A73" s="71" t="s">
        <v>77</v>
      </c>
      <c r="C73" s="72">
        <v>9.0999999999999998E-2</v>
      </c>
      <c r="E73" s="72">
        <v>0.04</v>
      </c>
      <c r="G73" s="72">
        <v>0.125</v>
      </c>
      <c r="I73" s="72">
        <v>0.17</v>
      </c>
      <c r="K73" s="72">
        <v>0.39500000000000002</v>
      </c>
      <c r="M73" s="72">
        <v>0.40200000000000002</v>
      </c>
      <c r="O73" s="72">
        <v>7.0000000000000007E-2</v>
      </c>
      <c r="Q73" s="72">
        <v>0.122</v>
      </c>
      <c r="S73" s="72">
        <v>0.159</v>
      </c>
    </row>
    <row r="74" spans="1:20" ht="11.25" customHeight="1" x14ac:dyDescent="0.25">
      <c r="A74" s="53" t="s">
        <v>78</v>
      </c>
      <c r="C74" s="2">
        <v>1200</v>
      </c>
      <c r="D74" s="17" t="s">
        <v>23</v>
      </c>
      <c r="E74" s="4" t="s">
        <v>79</v>
      </c>
      <c r="F74" s="20"/>
      <c r="G74" s="9">
        <v>889</v>
      </c>
      <c r="H74" s="20"/>
      <c r="I74" s="16" t="s">
        <v>21</v>
      </c>
      <c r="J74" s="20"/>
      <c r="K74" s="16" t="s">
        <v>21</v>
      </c>
      <c r="L74" s="20"/>
      <c r="M74" s="16" t="s">
        <v>21</v>
      </c>
      <c r="N74" s="20"/>
      <c r="O74" s="43">
        <v>650</v>
      </c>
      <c r="P74" s="18" t="s">
        <v>23</v>
      </c>
      <c r="Q74" s="16" t="s">
        <v>21</v>
      </c>
      <c r="R74" s="20"/>
      <c r="S74" s="9">
        <v>1230</v>
      </c>
    </row>
    <row r="75" spans="1:20" ht="11.25" customHeight="1" x14ac:dyDescent="0.25">
      <c r="A75" s="71" t="s">
        <v>77</v>
      </c>
      <c r="C75" s="73">
        <v>8.9999999999999993E-3</v>
      </c>
      <c r="D75" s="74"/>
      <c r="E75" s="3" t="s">
        <v>79</v>
      </c>
      <c r="F75" s="74"/>
      <c r="G75" s="73">
        <f>G74/G76</f>
        <v>1.2999999999999999E-2</v>
      </c>
      <c r="H75" s="74"/>
      <c r="I75" s="25" t="s">
        <v>21</v>
      </c>
      <c r="J75" s="74"/>
      <c r="K75" s="25" t="s">
        <v>21</v>
      </c>
      <c r="L75" s="74"/>
      <c r="M75" s="25" t="s">
        <v>21</v>
      </c>
      <c r="N75" s="74"/>
      <c r="O75" s="73">
        <v>4.0000000000000001E-3</v>
      </c>
      <c r="P75" s="75"/>
      <c r="Q75" s="25" t="s">
        <v>21</v>
      </c>
      <c r="R75" s="74"/>
      <c r="S75" s="73">
        <v>6.8000000000000005E-2</v>
      </c>
      <c r="T75" s="74"/>
    </row>
    <row r="76" spans="1:20" ht="11.25" customHeight="1" x14ac:dyDescent="0.25">
      <c r="A76" s="71" t="s">
        <v>80</v>
      </c>
      <c r="B76" s="76"/>
      <c r="C76" s="77">
        <v>141000</v>
      </c>
      <c r="D76" s="76"/>
      <c r="E76" s="77">
        <v>387000</v>
      </c>
      <c r="F76" s="76"/>
      <c r="G76" s="77">
        <v>66400</v>
      </c>
      <c r="H76" s="76"/>
      <c r="I76" s="77">
        <v>14100</v>
      </c>
      <c r="J76" s="76"/>
      <c r="K76" s="77">
        <v>84200</v>
      </c>
      <c r="L76" s="76"/>
      <c r="M76" s="77">
        <v>41800</v>
      </c>
      <c r="N76" s="76"/>
      <c r="O76" s="77">
        <v>164000</v>
      </c>
      <c r="P76" s="78" t="s">
        <v>23</v>
      </c>
      <c r="Q76" s="77">
        <v>171000</v>
      </c>
      <c r="R76" s="79" t="s">
        <v>23</v>
      </c>
      <c r="S76" s="77">
        <v>18000</v>
      </c>
      <c r="T76" s="76"/>
    </row>
    <row r="77" spans="1:20" ht="11.25" customHeight="1" x14ac:dyDescent="0.25">
      <c r="A77" s="188" t="s">
        <v>57</v>
      </c>
      <c r="B77" s="188"/>
      <c r="C77" s="188"/>
      <c r="D77" s="188"/>
      <c r="E77" s="188"/>
      <c r="F77" s="188"/>
      <c r="G77" s="188"/>
      <c r="H77" s="188"/>
      <c r="I77" s="188"/>
      <c r="J77" s="188"/>
      <c r="K77" s="188"/>
      <c r="L77" s="188"/>
      <c r="M77" s="188"/>
      <c r="N77" s="188"/>
      <c r="O77" s="188"/>
      <c r="P77" s="188"/>
      <c r="Q77" s="188"/>
      <c r="R77" s="188"/>
      <c r="S77" s="188"/>
      <c r="T77" s="188"/>
    </row>
    <row r="78" spans="1:20" ht="11.25" customHeight="1" x14ac:dyDescent="0.25">
      <c r="A78" s="40"/>
      <c r="B78" s="80"/>
      <c r="C78" s="80"/>
      <c r="D78" s="81"/>
      <c r="E78" s="80"/>
      <c r="F78" s="81"/>
      <c r="G78" s="80"/>
      <c r="H78" s="81"/>
      <c r="I78" s="80"/>
      <c r="J78" s="81"/>
      <c r="K78" s="80"/>
      <c r="L78" s="80"/>
      <c r="M78" s="80"/>
      <c r="N78" s="80"/>
      <c r="O78" s="80"/>
      <c r="P78" s="80"/>
      <c r="Q78" s="80"/>
      <c r="R78" s="80"/>
    </row>
    <row r="79" spans="1:20" ht="11.25" customHeight="1" x14ac:dyDescent="0.25">
      <c r="A79" s="40"/>
      <c r="B79" s="80"/>
      <c r="C79" s="72"/>
      <c r="E79" s="72"/>
      <c r="G79" s="72"/>
      <c r="I79" s="72"/>
      <c r="K79" s="72"/>
      <c r="M79" s="72"/>
      <c r="N79" s="40"/>
      <c r="O79" s="72"/>
      <c r="P79" s="40"/>
      <c r="Q79" s="72"/>
      <c r="R79" s="40"/>
      <c r="S79" s="72"/>
    </row>
    <row r="80" spans="1:20" ht="11.25" customHeight="1" x14ac:dyDescent="0.25">
      <c r="A80" s="40"/>
      <c r="B80" s="80"/>
      <c r="C80" s="72"/>
      <c r="E80" s="72"/>
      <c r="G80" s="72"/>
      <c r="I80" s="72"/>
      <c r="K80" s="72"/>
      <c r="M80" s="72"/>
      <c r="N80" s="40"/>
      <c r="O80" s="72"/>
      <c r="P80" s="40"/>
      <c r="Q80" s="72"/>
      <c r="R80" s="40"/>
      <c r="S80" s="72"/>
    </row>
    <row r="81" spans="1:20" ht="11.25" customHeight="1" x14ac:dyDescent="0.25">
      <c r="A81" s="40"/>
      <c r="B81" s="80"/>
      <c r="C81" s="80"/>
      <c r="D81" s="81"/>
      <c r="E81" s="80"/>
      <c r="F81" s="81"/>
      <c r="G81" s="80"/>
      <c r="H81" s="81"/>
      <c r="I81" s="80"/>
      <c r="J81" s="81"/>
      <c r="K81" s="80"/>
      <c r="L81" s="80"/>
      <c r="M81" s="80"/>
      <c r="N81" s="80"/>
      <c r="O81" s="80"/>
      <c r="P81" s="80"/>
      <c r="Q81" s="80"/>
      <c r="R81" s="80"/>
    </row>
    <row r="82" spans="1:20" ht="11.25" customHeight="1" x14ac:dyDescent="0.25">
      <c r="A82" s="40"/>
      <c r="B82" s="80"/>
      <c r="C82" s="80"/>
      <c r="D82" s="81"/>
      <c r="E82" s="80"/>
      <c r="F82" s="81"/>
      <c r="G82" s="80"/>
      <c r="H82" s="81"/>
      <c r="I82" s="80"/>
      <c r="J82" s="81"/>
      <c r="K82" s="80"/>
      <c r="L82" s="80"/>
      <c r="M82" s="80"/>
      <c r="N82" s="80"/>
      <c r="O82" s="80"/>
      <c r="P82" s="80"/>
      <c r="Q82" s="80"/>
      <c r="R82" s="80"/>
    </row>
    <row r="83" spans="1:20" ht="11.25" customHeight="1" x14ac:dyDescent="0.25">
      <c r="A83" s="40"/>
      <c r="B83" s="80"/>
      <c r="C83" s="80"/>
      <c r="D83" s="81"/>
      <c r="E83" s="80"/>
      <c r="F83" s="81"/>
      <c r="G83" s="80"/>
      <c r="H83" s="81"/>
      <c r="I83" s="80"/>
      <c r="J83" s="81"/>
      <c r="K83" s="80"/>
      <c r="L83" s="80"/>
      <c r="M83" s="80"/>
      <c r="N83" s="80"/>
      <c r="O83" s="80"/>
      <c r="P83" s="80"/>
      <c r="Q83" s="80"/>
      <c r="R83" s="80"/>
    </row>
    <row r="84" spans="1:20" ht="11.25" customHeight="1" x14ac:dyDescent="0.25">
      <c r="A84" s="40"/>
      <c r="B84" s="80"/>
      <c r="C84" s="80"/>
      <c r="D84" s="81"/>
      <c r="E84" s="80"/>
      <c r="F84" s="81"/>
      <c r="G84" s="80"/>
      <c r="H84" s="81"/>
      <c r="I84" s="80"/>
      <c r="J84" s="81"/>
      <c r="K84" s="80"/>
      <c r="L84" s="80"/>
      <c r="M84" s="80"/>
      <c r="N84" s="80"/>
      <c r="O84" s="80"/>
      <c r="P84" s="80"/>
      <c r="Q84" s="80"/>
      <c r="R84" s="80"/>
    </row>
    <row r="85" spans="1:20" ht="11.25" customHeight="1" x14ac:dyDescent="0.25">
      <c r="A85" s="40"/>
      <c r="B85" s="80"/>
      <c r="C85" s="80"/>
      <c r="D85" s="81"/>
      <c r="E85" s="80"/>
      <c r="F85" s="81"/>
      <c r="G85" s="80"/>
      <c r="H85" s="81"/>
      <c r="I85" s="80"/>
      <c r="J85" s="81"/>
      <c r="K85" s="80"/>
      <c r="L85" s="80"/>
      <c r="M85" s="80"/>
      <c r="N85" s="80"/>
      <c r="O85" s="80"/>
      <c r="P85" s="80"/>
      <c r="Q85" s="80"/>
      <c r="R85" s="80"/>
    </row>
    <row r="86" spans="1:20" ht="11.25" customHeight="1" x14ac:dyDescent="0.25">
      <c r="A86" s="40"/>
      <c r="B86" s="80"/>
      <c r="C86" s="80"/>
      <c r="D86" s="81"/>
      <c r="E86" s="80"/>
      <c r="F86" s="81"/>
      <c r="G86" s="80"/>
      <c r="H86" s="81"/>
      <c r="I86" s="80"/>
      <c r="J86" s="81"/>
      <c r="K86" s="80"/>
      <c r="L86" s="80"/>
      <c r="M86" s="80"/>
      <c r="N86" s="80"/>
      <c r="O86" s="80"/>
      <c r="P86" s="80"/>
      <c r="Q86" s="80"/>
      <c r="R86" s="80"/>
    </row>
    <row r="87" spans="1:20" ht="11.25" customHeight="1" x14ac:dyDescent="0.25">
      <c r="A87" s="40"/>
      <c r="B87" s="80"/>
      <c r="C87" s="80"/>
      <c r="D87" s="81"/>
      <c r="E87" s="80"/>
      <c r="F87" s="81"/>
      <c r="G87" s="80"/>
      <c r="H87" s="81"/>
      <c r="I87" s="80"/>
      <c r="J87" s="81"/>
      <c r="K87" s="80"/>
      <c r="L87" s="80"/>
      <c r="M87" s="80"/>
      <c r="N87" s="80"/>
      <c r="O87" s="80"/>
      <c r="P87" s="80"/>
      <c r="Q87" s="80"/>
      <c r="R87" s="80"/>
    </row>
    <row r="88" spans="1:20" ht="11.25" customHeight="1" x14ac:dyDescent="0.25">
      <c r="A88" s="40"/>
      <c r="B88" s="80"/>
      <c r="C88" s="80"/>
      <c r="D88" s="81"/>
      <c r="E88" s="80"/>
      <c r="F88" s="81"/>
      <c r="G88" s="80"/>
      <c r="H88" s="81"/>
      <c r="I88" s="80"/>
      <c r="J88" s="81"/>
      <c r="K88" s="80"/>
      <c r="L88" s="80"/>
      <c r="M88" s="80"/>
      <c r="N88" s="80"/>
      <c r="O88" s="80"/>
      <c r="P88" s="80"/>
      <c r="Q88" s="80"/>
      <c r="R88" s="80"/>
    </row>
    <row r="89" spans="1:20" ht="11.25" customHeight="1" x14ac:dyDescent="0.25">
      <c r="A89" s="40"/>
      <c r="B89" s="80"/>
      <c r="C89" s="80"/>
      <c r="D89" s="81"/>
      <c r="E89" s="80"/>
      <c r="F89" s="81"/>
      <c r="G89" s="80"/>
      <c r="H89" s="81"/>
      <c r="I89" s="80"/>
      <c r="J89" s="81"/>
      <c r="K89" s="80"/>
      <c r="L89" s="80"/>
      <c r="M89" s="80"/>
      <c r="N89" s="80"/>
      <c r="O89" s="80"/>
      <c r="P89" s="80"/>
      <c r="Q89" s="80"/>
      <c r="R89" s="80"/>
    </row>
    <row r="93" spans="1:20" ht="11.25" customHeight="1" x14ac:dyDescent="0.25">
      <c r="A93" s="183" t="s">
        <v>196</v>
      </c>
      <c r="B93" s="183"/>
      <c r="C93" s="183"/>
      <c r="D93" s="183"/>
      <c r="E93" s="183"/>
      <c r="F93" s="183"/>
      <c r="G93" s="183"/>
      <c r="H93" s="183"/>
      <c r="I93" s="183"/>
      <c r="J93" s="183"/>
      <c r="K93" s="183"/>
      <c r="L93" s="183"/>
      <c r="M93" s="183"/>
      <c r="N93" s="183"/>
      <c r="O93" s="183"/>
      <c r="P93" s="183"/>
      <c r="Q93" s="183"/>
      <c r="R93" s="183"/>
      <c r="S93" s="183"/>
      <c r="T93" s="183"/>
    </row>
    <row r="94" spans="1:20" ht="11.25" customHeight="1" x14ac:dyDescent="0.25">
      <c r="A94" s="183" t="s">
        <v>202</v>
      </c>
      <c r="B94" s="183"/>
      <c r="C94" s="183"/>
      <c r="D94" s="183"/>
      <c r="E94" s="183"/>
      <c r="F94" s="183"/>
      <c r="G94" s="183"/>
      <c r="H94" s="183"/>
      <c r="I94" s="183"/>
      <c r="J94" s="183"/>
      <c r="K94" s="183"/>
      <c r="L94" s="183"/>
      <c r="M94" s="183"/>
      <c r="N94" s="183"/>
      <c r="O94" s="183"/>
      <c r="P94" s="183"/>
      <c r="Q94" s="183"/>
      <c r="R94" s="183"/>
      <c r="S94" s="183"/>
      <c r="T94" s="183"/>
    </row>
    <row r="95" spans="1:20" ht="11.25" customHeight="1" x14ac:dyDescent="0.25">
      <c r="A95" s="183"/>
      <c r="B95" s="183"/>
      <c r="C95" s="183"/>
      <c r="D95" s="183"/>
      <c r="E95" s="183"/>
      <c r="F95" s="183"/>
      <c r="G95" s="183"/>
      <c r="H95" s="183"/>
      <c r="I95" s="183"/>
      <c r="J95" s="183"/>
      <c r="K95" s="183"/>
      <c r="L95" s="183"/>
      <c r="M95" s="183"/>
      <c r="N95" s="183"/>
      <c r="O95" s="183"/>
      <c r="P95" s="183"/>
      <c r="Q95" s="183"/>
      <c r="R95" s="183"/>
      <c r="S95" s="183"/>
      <c r="T95" s="183"/>
    </row>
    <row r="96" spans="1:20" ht="11.25" customHeight="1" x14ac:dyDescent="0.25">
      <c r="A96" s="183" t="s">
        <v>195</v>
      </c>
      <c r="B96" s="183"/>
      <c r="C96" s="183"/>
      <c r="D96" s="183"/>
      <c r="E96" s="183"/>
      <c r="F96" s="183"/>
      <c r="G96" s="183"/>
      <c r="H96" s="183"/>
      <c r="I96" s="183"/>
      <c r="J96" s="183"/>
      <c r="K96" s="183"/>
      <c r="L96" s="183"/>
      <c r="M96" s="183"/>
      <c r="N96" s="183"/>
      <c r="O96" s="183"/>
      <c r="P96" s="183"/>
      <c r="Q96" s="183"/>
      <c r="R96" s="183"/>
      <c r="S96" s="183"/>
      <c r="T96" s="183"/>
    </row>
    <row r="97" spans="1:20" ht="11.25" customHeight="1" x14ac:dyDescent="0.25">
      <c r="A97" s="183"/>
      <c r="B97" s="183"/>
      <c r="C97" s="183"/>
      <c r="D97" s="183"/>
      <c r="E97" s="183"/>
      <c r="F97" s="183"/>
      <c r="G97" s="183"/>
      <c r="H97" s="183"/>
      <c r="I97" s="183"/>
      <c r="J97" s="183"/>
      <c r="K97" s="183"/>
      <c r="L97" s="183"/>
      <c r="M97" s="183"/>
      <c r="N97" s="183"/>
      <c r="O97" s="183"/>
      <c r="P97" s="183"/>
      <c r="Q97" s="183"/>
      <c r="R97" s="183"/>
      <c r="S97" s="183"/>
      <c r="T97" s="183"/>
    </row>
    <row r="98" spans="1:20" ht="11.25" customHeight="1" x14ac:dyDescent="0.25">
      <c r="A98" s="63"/>
      <c r="B98" s="63"/>
      <c r="C98" s="185" t="s">
        <v>197</v>
      </c>
      <c r="D98" s="185"/>
      <c r="E98" s="185"/>
      <c r="F98" s="185"/>
      <c r="G98" s="185"/>
      <c r="H98" s="185"/>
      <c r="I98" s="185"/>
      <c r="J98" s="185"/>
      <c r="K98" s="185"/>
      <c r="L98" s="185"/>
      <c r="M98" s="185"/>
      <c r="N98" s="185"/>
      <c r="O98" s="185"/>
      <c r="P98" s="185"/>
      <c r="Q98" s="185"/>
      <c r="R98" s="185"/>
      <c r="S98" s="185"/>
      <c r="T98" s="185"/>
    </row>
    <row r="99" spans="1:20" s="41" customFormat="1" ht="11.25" customHeight="1" x14ac:dyDescent="0.25">
      <c r="A99" s="14"/>
      <c r="B99" s="14"/>
      <c r="C99" s="14"/>
      <c r="D99" s="14"/>
      <c r="E99" s="14"/>
      <c r="F99" s="14"/>
      <c r="G99" s="48" t="s">
        <v>81</v>
      </c>
      <c r="H99" s="13"/>
      <c r="I99" s="13"/>
      <c r="J99" s="13"/>
      <c r="K99" s="185" t="s">
        <v>82</v>
      </c>
      <c r="L99" s="185"/>
      <c r="M99" s="185"/>
      <c r="N99" s="13"/>
      <c r="O99" s="82"/>
      <c r="P99" s="82"/>
      <c r="Q99" s="82"/>
      <c r="R99" s="82"/>
      <c r="S99" s="82"/>
      <c r="T99" s="82"/>
    </row>
    <row r="100" spans="1:20" s="41" customFormat="1" ht="11.25" customHeight="1" x14ac:dyDescent="0.25">
      <c r="A100" s="14"/>
      <c r="B100" s="14"/>
      <c r="C100" s="187" t="s">
        <v>198</v>
      </c>
      <c r="D100" s="187"/>
      <c r="E100" s="187"/>
      <c r="F100" s="14"/>
      <c r="G100" s="48" t="s">
        <v>4</v>
      </c>
      <c r="H100" s="14"/>
      <c r="I100" s="48" t="s">
        <v>83</v>
      </c>
      <c r="J100" s="13"/>
      <c r="K100" s="48" t="s">
        <v>84</v>
      </c>
      <c r="L100" s="13"/>
      <c r="M100" s="13"/>
      <c r="N100" s="13"/>
      <c r="O100" s="184" t="s">
        <v>85</v>
      </c>
      <c r="P100" s="184"/>
      <c r="Q100" s="184"/>
      <c r="R100" s="184"/>
      <c r="S100" s="184"/>
      <c r="T100" s="184"/>
    </row>
    <row r="101" spans="1:20" s="41" customFormat="1" ht="11.25" customHeight="1" x14ac:dyDescent="0.2">
      <c r="A101" s="14"/>
      <c r="B101" s="14"/>
      <c r="C101" s="190" t="s">
        <v>86</v>
      </c>
      <c r="D101" s="190"/>
      <c r="E101" s="190"/>
      <c r="F101" s="14"/>
      <c r="G101" s="57" t="s">
        <v>87</v>
      </c>
      <c r="H101" s="14"/>
      <c r="I101" s="48" t="s">
        <v>4</v>
      </c>
      <c r="J101" s="13"/>
      <c r="K101" s="48" t="s">
        <v>88</v>
      </c>
      <c r="L101" s="13"/>
      <c r="M101" s="13"/>
      <c r="N101" s="13"/>
      <c r="O101" s="48" t="s">
        <v>10</v>
      </c>
      <c r="P101" s="13"/>
      <c r="Q101" s="185" t="s">
        <v>86</v>
      </c>
      <c r="R101" s="185"/>
      <c r="S101" s="185"/>
      <c r="T101" s="185"/>
    </row>
    <row r="102" spans="1:20" s="41" customFormat="1" ht="11.25" customHeight="1" x14ac:dyDescent="0.25">
      <c r="A102" s="12" t="s">
        <v>171</v>
      </c>
      <c r="B102" s="12"/>
      <c r="C102" s="50" t="s">
        <v>13</v>
      </c>
      <c r="D102" s="52"/>
      <c r="E102" s="50" t="s">
        <v>14</v>
      </c>
      <c r="F102" s="12"/>
      <c r="G102" s="58" t="s">
        <v>89</v>
      </c>
      <c r="H102" s="12"/>
      <c r="I102" s="50" t="s">
        <v>90</v>
      </c>
      <c r="J102" s="12"/>
      <c r="K102" s="50" t="s">
        <v>91</v>
      </c>
      <c r="L102" s="12"/>
      <c r="M102" s="12" t="s">
        <v>92</v>
      </c>
      <c r="N102" s="12"/>
      <c r="O102" s="50" t="s">
        <v>93</v>
      </c>
      <c r="P102" s="76"/>
      <c r="Q102" s="12" t="s">
        <v>13</v>
      </c>
      <c r="R102" s="12"/>
      <c r="S102" s="12" t="s">
        <v>14</v>
      </c>
      <c r="T102" s="12"/>
    </row>
    <row r="103" spans="1:20" ht="11.25" customHeight="1" x14ac:dyDescent="0.25">
      <c r="A103" s="64" t="s">
        <v>20</v>
      </c>
      <c r="C103" s="16" t="s">
        <v>21</v>
      </c>
      <c r="D103" s="18"/>
      <c r="E103" s="16" t="s">
        <v>21</v>
      </c>
      <c r="F103" s="20"/>
      <c r="G103" s="16" t="s">
        <v>21</v>
      </c>
      <c r="H103" s="20"/>
      <c r="I103" s="16" t="s">
        <v>21</v>
      </c>
      <c r="J103" s="20"/>
      <c r="K103" s="16" t="s">
        <v>21</v>
      </c>
      <c r="L103" s="20"/>
      <c r="M103" s="44">
        <v>400</v>
      </c>
      <c r="N103" s="17" t="s">
        <v>23</v>
      </c>
      <c r="O103" s="16" t="s">
        <v>21</v>
      </c>
      <c r="P103" s="20"/>
      <c r="Q103" s="16" t="s">
        <v>21</v>
      </c>
      <c r="R103" s="18"/>
      <c r="S103" s="16" t="s">
        <v>21</v>
      </c>
      <c r="T103" s="18"/>
    </row>
    <row r="104" spans="1:20" ht="11.25" customHeight="1" x14ac:dyDescent="0.25">
      <c r="A104" s="53" t="s">
        <v>22</v>
      </c>
      <c r="C104" s="16" t="s">
        <v>21</v>
      </c>
      <c r="D104" s="17"/>
      <c r="E104" s="16" t="s">
        <v>21</v>
      </c>
      <c r="F104" s="20"/>
      <c r="G104" s="42">
        <v>2500</v>
      </c>
      <c r="H104" s="20" t="s">
        <v>23</v>
      </c>
      <c r="I104" s="16" t="s">
        <v>21</v>
      </c>
      <c r="J104" s="20"/>
      <c r="K104" s="16" t="s">
        <v>21</v>
      </c>
      <c r="L104" s="20"/>
      <c r="M104" s="16" t="s">
        <v>21</v>
      </c>
      <c r="N104" s="18"/>
      <c r="O104" s="16" t="s">
        <v>21</v>
      </c>
      <c r="P104" s="20"/>
      <c r="Q104" s="16" t="s">
        <v>21</v>
      </c>
      <c r="R104" s="18"/>
      <c r="S104" s="16" t="s">
        <v>21</v>
      </c>
      <c r="T104" s="18"/>
    </row>
    <row r="105" spans="1:20" ht="11.25" customHeight="1" x14ac:dyDescent="0.25">
      <c r="A105" s="53" t="s">
        <v>24</v>
      </c>
      <c r="C105" s="16" t="s">
        <v>21</v>
      </c>
      <c r="D105" s="17"/>
      <c r="E105" s="9">
        <v>133</v>
      </c>
      <c r="F105" s="20"/>
      <c r="G105" s="16" t="s">
        <v>21</v>
      </c>
      <c r="H105" s="20"/>
      <c r="I105" s="9">
        <v>840</v>
      </c>
      <c r="J105" s="20"/>
      <c r="K105" s="9">
        <v>6144</v>
      </c>
      <c r="L105" s="19"/>
      <c r="M105" s="9">
        <v>7884</v>
      </c>
      <c r="N105" s="18"/>
      <c r="O105" s="16" t="s">
        <v>21</v>
      </c>
      <c r="P105" s="20"/>
      <c r="Q105" s="16" t="s">
        <v>21</v>
      </c>
      <c r="R105" s="18"/>
      <c r="S105" s="9">
        <v>28000</v>
      </c>
      <c r="T105" s="17" t="s">
        <v>23</v>
      </c>
    </row>
    <row r="106" spans="1:20" ht="11.25" customHeight="1" x14ac:dyDescent="0.25">
      <c r="A106" s="53" t="s">
        <v>25</v>
      </c>
      <c r="C106" s="16" t="s">
        <v>21</v>
      </c>
      <c r="D106" s="17"/>
      <c r="E106" s="16" t="s">
        <v>21</v>
      </c>
      <c r="F106" s="20"/>
      <c r="G106" s="42">
        <v>3347</v>
      </c>
      <c r="H106" s="20"/>
      <c r="I106" s="16" t="s">
        <v>21</v>
      </c>
      <c r="J106" s="20"/>
      <c r="K106" s="16" t="s">
        <v>21</v>
      </c>
      <c r="L106" s="20"/>
      <c r="M106" s="42">
        <v>304</v>
      </c>
      <c r="N106" s="17"/>
      <c r="O106" s="16" t="s">
        <v>21</v>
      </c>
      <c r="P106" s="20"/>
      <c r="Q106" s="16" t="s">
        <v>21</v>
      </c>
      <c r="R106" s="18"/>
      <c r="S106" s="16" t="s">
        <v>21</v>
      </c>
      <c r="T106" s="18"/>
    </row>
    <row r="107" spans="1:20" ht="11.25" customHeight="1" x14ac:dyDescent="0.2">
      <c r="A107" s="53" t="s">
        <v>26</v>
      </c>
      <c r="C107" s="16" t="s">
        <v>21</v>
      </c>
      <c r="D107" s="17"/>
      <c r="E107" s="16" t="s">
        <v>21</v>
      </c>
      <c r="F107" s="20"/>
      <c r="G107" s="16" t="s">
        <v>21</v>
      </c>
      <c r="H107" s="20"/>
      <c r="I107" s="16" t="s">
        <v>21</v>
      </c>
      <c r="J107" s="20"/>
      <c r="K107" s="16" t="s">
        <v>21</v>
      </c>
      <c r="L107" s="20"/>
      <c r="M107" s="35">
        <v>2480</v>
      </c>
      <c r="N107" s="17"/>
      <c r="O107" s="16" t="s">
        <v>21</v>
      </c>
      <c r="P107" s="20"/>
      <c r="Q107" s="16" t="s">
        <v>21</v>
      </c>
      <c r="R107" s="18"/>
      <c r="S107" s="16" t="s">
        <v>21</v>
      </c>
      <c r="T107" s="18"/>
    </row>
    <row r="108" spans="1:20" ht="11.25" customHeight="1" x14ac:dyDescent="0.25">
      <c r="A108" s="53" t="s">
        <v>27</v>
      </c>
      <c r="C108" s="6">
        <v>228</v>
      </c>
      <c r="D108" s="17"/>
      <c r="E108" s="6">
        <v>159</v>
      </c>
      <c r="F108" s="20"/>
      <c r="G108" s="16" t="s">
        <v>21</v>
      </c>
      <c r="H108" s="20"/>
      <c r="I108" s="16" t="s">
        <v>21</v>
      </c>
      <c r="J108" s="20"/>
      <c r="K108" s="5">
        <v>4180</v>
      </c>
      <c r="L108" s="19"/>
      <c r="M108" s="5">
        <v>6909</v>
      </c>
      <c r="N108" s="19"/>
      <c r="O108" s="16" t="s">
        <v>21</v>
      </c>
      <c r="P108" s="20"/>
      <c r="Q108" s="16" t="s">
        <v>21</v>
      </c>
      <c r="R108" s="18"/>
      <c r="S108" s="5">
        <v>122000</v>
      </c>
      <c r="T108" s="19"/>
    </row>
    <row r="109" spans="1:20" ht="11.25" customHeight="1" x14ac:dyDescent="0.2">
      <c r="A109" s="53" t="s">
        <v>28</v>
      </c>
      <c r="C109" s="16" t="s">
        <v>21</v>
      </c>
      <c r="D109" s="17"/>
      <c r="E109" s="16" t="s">
        <v>21</v>
      </c>
      <c r="F109" s="20"/>
      <c r="G109" s="16" t="s">
        <v>21</v>
      </c>
      <c r="H109" s="20"/>
      <c r="I109" s="5">
        <v>963</v>
      </c>
      <c r="J109" s="20"/>
      <c r="K109" s="65">
        <v>830</v>
      </c>
      <c r="L109" s="19"/>
      <c r="M109" s="5">
        <v>915</v>
      </c>
      <c r="N109" s="18"/>
      <c r="O109" s="9">
        <v>5700</v>
      </c>
      <c r="P109" s="20"/>
      <c r="Q109" s="16" t="s">
        <v>21</v>
      </c>
      <c r="R109" s="17"/>
      <c r="S109" s="83" t="s">
        <v>94</v>
      </c>
      <c r="T109" s="19"/>
    </row>
    <row r="110" spans="1:20" ht="11.25" customHeight="1" x14ac:dyDescent="0.25">
      <c r="A110" s="53" t="s">
        <v>29</v>
      </c>
      <c r="C110" s="6">
        <v>188</v>
      </c>
      <c r="D110" s="17"/>
      <c r="E110" s="6">
        <v>31</v>
      </c>
      <c r="F110" s="20"/>
      <c r="G110" s="1">
        <v>9500</v>
      </c>
      <c r="H110" s="20"/>
      <c r="I110" s="16" t="s">
        <v>21</v>
      </c>
      <c r="J110" s="20"/>
      <c r="K110" s="16" t="s">
        <v>21</v>
      </c>
      <c r="L110" s="20"/>
      <c r="M110" s="5">
        <v>548</v>
      </c>
      <c r="N110" s="19"/>
      <c r="O110" s="9">
        <v>36479</v>
      </c>
      <c r="P110" s="20"/>
      <c r="Q110" s="9">
        <v>47000</v>
      </c>
      <c r="R110" s="18"/>
      <c r="S110" s="6">
        <v>58000</v>
      </c>
      <c r="T110" s="18"/>
    </row>
    <row r="111" spans="1:20" ht="11.25" customHeight="1" x14ac:dyDescent="0.25">
      <c r="A111" s="53" t="s">
        <v>30</v>
      </c>
      <c r="C111" s="16" t="s">
        <v>21</v>
      </c>
      <c r="D111" s="17"/>
      <c r="E111" s="16" t="s">
        <v>21</v>
      </c>
      <c r="F111" s="20"/>
      <c r="G111" s="16" t="s">
        <v>21</v>
      </c>
      <c r="H111" s="20"/>
      <c r="I111" s="16" t="s">
        <v>21</v>
      </c>
      <c r="J111" s="20"/>
      <c r="K111" s="16" t="s">
        <v>21</v>
      </c>
      <c r="L111" s="20"/>
      <c r="M111" s="36">
        <v>185</v>
      </c>
      <c r="N111" s="17"/>
      <c r="O111" s="16" t="s">
        <v>21</v>
      </c>
      <c r="P111" s="20"/>
      <c r="Q111" s="6">
        <v>6000</v>
      </c>
      <c r="R111" s="18"/>
      <c r="S111" s="16" t="s">
        <v>21</v>
      </c>
      <c r="T111" s="18"/>
    </row>
    <row r="112" spans="1:20" ht="11.25" customHeight="1" x14ac:dyDescent="0.25">
      <c r="A112" s="53" t="s">
        <v>31</v>
      </c>
      <c r="C112" s="16" t="s">
        <v>21</v>
      </c>
      <c r="D112" s="17"/>
      <c r="E112" s="16" t="s">
        <v>21</v>
      </c>
      <c r="F112" s="20"/>
      <c r="G112" s="16" t="s">
        <v>21</v>
      </c>
      <c r="H112" s="20"/>
      <c r="I112" s="16" t="s">
        <v>21</v>
      </c>
      <c r="J112" s="20"/>
      <c r="K112" s="16" t="s">
        <v>21</v>
      </c>
      <c r="L112" s="20"/>
      <c r="M112" s="16" t="s">
        <v>21</v>
      </c>
      <c r="N112" s="18"/>
      <c r="O112" s="16" t="s">
        <v>21</v>
      </c>
      <c r="P112" s="20"/>
      <c r="Q112" s="16" t="s">
        <v>21</v>
      </c>
      <c r="R112" s="18"/>
      <c r="S112" s="16" t="s">
        <v>21</v>
      </c>
      <c r="T112" s="18"/>
    </row>
    <row r="113" spans="1:20" ht="11.25" customHeight="1" x14ac:dyDescent="0.25">
      <c r="A113" s="53" t="s">
        <v>32</v>
      </c>
      <c r="C113" s="16" t="s">
        <v>21</v>
      </c>
      <c r="D113" s="17"/>
      <c r="E113" s="16" t="s">
        <v>21</v>
      </c>
      <c r="F113" s="20"/>
      <c r="G113" s="16" t="s">
        <v>21</v>
      </c>
      <c r="H113" s="20"/>
      <c r="I113" s="16" t="s">
        <v>21</v>
      </c>
      <c r="J113" s="20"/>
      <c r="K113" s="5">
        <v>3874</v>
      </c>
      <c r="L113" s="20"/>
      <c r="M113" s="5">
        <v>4817</v>
      </c>
      <c r="N113" s="18"/>
      <c r="O113" s="16" t="s">
        <v>21</v>
      </c>
      <c r="P113" s="20"/>
      <c r="Q113" s="16" t="s">
        <v>21</v>
      </c>
      <c r="R113" s="18"/>
      <c r="S113" s="5">
        <v>42000</v>
      </c>
      <c r="T113" s="17"/>
    </row>
    <row r="114" spans="1:20" ht="11.25" customHeight="1" x14ac:dyDescent="0.25">
      <c r="A114" s="53" t="s">
        <v>33</v>
      </c>
      <c r="C114" s="16" t="s">
        <v>21</v>
      </c>
      <c r="D114" s="17"/>
      <c r="E114" s="16" t="s">
        <v>21</v>
      </c>
      <c r="F114" s="20"/>
      <c r="G114" s="16" t="s">
        <v>21</v>
      </c>
      <c r="H114" s="20"/>
      <c r="I114" s="16" t="s">
        <v>21</v>
      </c>
      <c r="J114" s="20"/>
      <c r="K114" s="16" t="s">
        <v>21</v>
      </c>
      <c r="L114" s="20"/>
      <c r="M114" s="16" t="s">
        <v>21</v>
      </c>
      <c r="N114" s="18"/>
      <c r="O114" s="16" t="s">
        <v>21</v>
      </c>
      <c r="P114" s="20"/>
      <c r="Q114" s="16" t="s">
        <v>21</v>
      </c>
      <c r="R114" s="18"/>
      <c r="S114" s="16" t="s">
        <v>21</v>
      </c>
      <c r="T114" s="18"/>
    </row>
    <row r="115" spans="1:20" ht="11.25" customHeight="1" x14ac:dyDescent="0.25">
      <c r="A115" s="53" t="s">
        <v>34</v>
      </c>
      <c r="C115" s="16" t="s">
        <v>21</v>
      </c>
      <c r="D115" s="17"/>
      <c r="E115" s="16" t="s">
        <v>21</v>
      </c>
      <c r="F115" s="20"/>
      <c r="G115" s="16" t="s">
        <v>21</v>
      </c>
      <c r="H115" s="20"/>
      <c r="I115" s="16" t="s">
        <v>21</v>
      </c>
      <c r="J115" s="20"/>
      <c r="K115" s="16" t="s">
        <v>21</v>
      </c>
      <c r="L115" s="20"/>
      <c r="M115" s="16" t="s">
        <v>21</v>
      </c>
      <c r="N115" s="18"/>
      <c r="O115" s="16" t="s">
        <v>21</v>
      </c>
      <c r="P115" s="20"/>
      <c r="Q115" s="16" t="s">
        <v>21</v>
      </c>
      <c r="R115" s="18"/>
      <c r="S115" s="5">
        <v>13000</v>
      </c>
      <c r="T115" s="17"/>
    </row>
    <row r="116" spans="1:20" ht="11.25" customHeight="1" x14ac:dyDescent="0.25">
      <c r="A116" s="53" t="s">
        <v>35</v>
      </c>
      <c r="C116" s="16" t="s">
        <v>21</v>
      </c>
      <c r="D116" s="17"/>
      <c r="E116" s="16" t="s">
        <v>21</v>
      </c>
      <c r="F116" s="20"/>
      <c r="G116" s="5">
        <v>9082</v>
      </c>
      <c r="H116" s="20"/>
      <c r="I116" s="16" t="s">
        <v>21</v>
      </c>
      <c r="J116" s="20"/>
      <c r="K116" s="5">
        <v>2800</v>
      </c>
      <c r="L116" s="17" t="s">
        <v>23</v>
      </c>
      <c r="M116" s="5">
        <v>4322</v>
      </c>
      <c r="N116" s="17"/>
      <c r="O116" s="6">
        <v>1494</v>
      </c>
      <c r="P116" s="20"/>
      <c r="Q116" s="16" t="s">
        <v>21</v>
      </c>
      <c r="R116" s="18"/>
      <c r="S116" s="16" t="s">
        <v>21</v>
      </c>
      <c r="T116" s="18"/>
    </row>
    <row r="117" spans="1:20" ht="11.25" customHeight="1" x14ac:dyDescent="0.25">
      <c r="A117" s="53" t="s">
        <v>36</v>
      </c>
      <c r="C117" s="16" t="s">
        <v>21</v>
      </c>
      <c r="D117" s="17"/>
      <c r="E117" s="16" t="s">
        <v>21</v>
      </c>
      <c r="F117" s="20"/>
      <c r="G117" s="16" t="s">
        <v>21</v>
      </c>
      <c r="H117" s="20"/>
      <c r="I117" s="16" t="s">
        <v>21</v>
      </c>
      <c r="J117" s="20"/>
      <c r="K117" s="5">
        <v>9500</v>
      </c>
      <c r="L117" s="19"/>
      <c r="M117" s="5">
        <v>13947</v>
      </c>
      <c r="N117" s="17"/>
      <c r="O117" s="16" t="s">
        <v>21</v>
      </c>
      <c r="P117" s="20"/>
      <c r="Q117" s="16" t="s">
        <v>21</v>
      </c>
      <c r="R117" s="18"/>
      <c r="S117" s="2">
        <v>70000</v>
      </c>
      <c r="T117" s="17"/>
    </row>
    <row r="118" spans="1:20" ht="11.25" customHeight="1" x14ac:dyDescent="0.25">
      <c r="A118" s="53" t="s">
        <v>37</v>
      </c>
      <c r="C118" s="16" t="s">
        <v>21</v>
      </c>
      <c r="D118" s="17"/>
      <c r="E118" s="16" t="s">
        <v>21</v>
      </c>
      <c r="F118" s="20"/>
      <c r="G118" s="5">
        <v>3513</v>
      </c>
      <c r="H118" s="20"/>
      <c r="I118" s="16" t="s">
        <v>21</v>
      </c>
      <c r="J118" s="20"/>
      <c r="K118" s="16" t="s">
        <v>21</v>
      </c>
      <c r="L118" s="20"/>
      <c r="M118" s="16" t="s">
        <v>21</v>
      </c>
      <c r="N118" s="18"/>
      <c r="O118" s="16" t="s">
        <v>21</v>
      </c>
      <c r="P118" s="20"/>
      <c r="Q118" s="16" t="s">
        <v>21</v>
      </c>
      <c r="R118" s="18"/>
      <c r="S118" s="16" t="s">
        <v>21</v>
      </c>
      <c r="T118" s="18"/>
    </row>
    <row r="119" spans="1:20" ht="11.25" customHeight="1" x14ac:dyDescent="0.25">
      <c r="A119" s="53" t="s">
        <v>38</v>
      </c>
      <c r="C119" s="6">
        <v>384</v>
      </c>
      <c r="D119" s="17"/>
      <c r="E119" s="6">
        <v>231</v>
      </c>
      <c r="F119" s="20"/>
      <c r="G119" s="16" t="s">
        <v>21</v>
      </c>
      <c r="H119" s="20"/>
      <c r="I119" s="16" t="s">
        <v>21</v>
      </c>
      <c r="J119" s="20"/>
      <c r="K119" s="5">
        <v>26196</v>
      </c>
      <c r="L119" s="20"/>
      <c r="M119" s="5">
        <v>40066</v>
      </c>
      <c r="N119" s="17"/>
      <c r="O119" s="16" t="s">
        <v>21</v>
      </c>
      <c r="P119" s="20"/>
      <c r="Q119" s="5">
        <v>93000</v>
      </c>
      <c r="R119" s="17"/>
      <c r="S119" s="5">
        <v>217000</v>
      </c>
      <c r="T119" s="17"/>
    </row>
    <row r="120" spans="1:20" ht="11.25" customHeight="1" x14ac:dyDescent="0.25">
      <c r="A120" s="53" t="s">
        <v>39</v>
      </c>
      <c r="C120" s="16" t="s">
        <v>21</v>
      </c>
      <c r="D120" s="17"/>
      <c r="E120" s="16" t="s">
        <v>21</v>
      </c>
      <c r="F120" s="20"/>
      <c r="G120" s="5">
        <v>2200</v>
      </c>
      <c r="H120" s="20" t="s">
        <v>23</v>
      </c>
      <c r="I120" s="5">
        <v>270</v>
      </c>
      <c r="J120" s="20" t="s">
        <v>23</v>
      </c>
      <c r="K120" s="16" t="s">
        <v>21</v>
      </c>
      <c r="L120" s="20"/>
      <c r="M120" s="5">
        <v>1498</v>
      </c>
      <c r="N120" s="19"/>
      <c r="O120" s="9">
        <v>16000</v>
      </c>
      <c r="P120" s="20" t="s">
        <v>23</v>
      </c>
      <c r="Q120" s="16" t="s">
        <v>21</v>
      </c>
      <c r="R120" s="18"/>
      <c r="S120" s="16" t="s">
        <v>21</v>
      </c>
      <c r="T120" s="17"/>
    </row>
    <row r="121" spans="1:20" ht="11.25" customHeight="1" x14ac:dyDescent="0.25">
      <c r="A121" s="53" t="s">
        <v>40</v>
      </c>
      <c r="C121" s="16" t="s">
        <v>21</v>
      </c>
      <c r="D121" s="17"/>
      <c r="E121" s="16" t="s">
        <v>21</v>
      </c>
      <c r="F121" s="20"/>
      <c r="G121" s="16" t="s">
        <v>21</v>
      </c>
      <c r="H121" s="20"/>
      <c r="I121" s="16" t="s">
        <v>21</v>
      </c>
      <c r="J121" s="20"/>
      <c r="K121" s="5">
        <v>605</v>
      </c>
      <c r="L121" s="20"/>
      <c r="M121" s="5">
        <v>1110</v>
      </c>
      <c r="N121" s="18"/>
      <c r="O121" s="16" t="s">
        <v>21</v>
      </c>
      <c r="P121" s="20"/>
      <c r="Q121" s="16" t="s">
        <v>21</v>
      </c>
      <c r="R121" s="18"/>
      <c r="S121" s="16" t="s">
        <v>21</v>
      </c>
      <c r="T121" s="18"/>
    </row>
    <row r="122" spans="1:20" ht="11.25" customHeight="1" x14ac:dyDescent="0.2">
      <c r="A122" s="53" t="s">
        <v>41</v>
      </c>
      <c r="C122" s="67" t="s">
        <v>21</v>
      </c>
      <c r="D122" s="17"/>
      <c r="E122" s="67" t="s">
        <v>21</v>
      </c>
      <c r="F122" s="20"/>
      <c r="G122" s="67" t="s">
        <v>21</v>
      </c>
      <c r="H122" s="20"/>
      <c r="I122" s="67" t="s">
        <v>21</v>
      </c>
      <c r="J122" s="20"/>
      <c r="K122" s="67" t="s">
        <v>21</v>
      </c>
      <c r="L122" s="20"/>
      <c r="M122" s="67" t="s">
        <v>21</v>
      </c>
      <c r="N122" s="18"/>
      <c r="O122" s="67" t="s">
        <v>21</v>
      </c>
      <c r="P122" s="20"/>
      <c r="Q122" s="67" t="s">
        <v>21</v>
      </c>
      <c r="R122" s="18"/>
      <c r="S122" s="67" t="s">
        <v>21</v>
      </c>
      <c r="T122" s="18"/>
    </row>
    <row r="123" spans="1:20" ht="11.25" customHeight="1" x14ac:dyDescent="0.2">
      <c r="A123" s="53" t="s">
        <v>42</v>
      </c>
      <c r="C123" s="67" t="s">
        <v>21</v>
      </c>
      <c r="D123" s="20"/>
      <c r="E123" s="67" t="s">
        <v>21</v>
      </c>
      <c r="F123" s="20"/>
      <c r="G123" s="67" t="s">
        <v>21</v>
      </c>
      <c r="H123" s="20"/>
      <c r="I123" s="67" t="s">
        <v>21</v>
      </c>
      <c r="J123" s="20"/>
      <c r="K123" s="67" t="s">
        <v>21</v>
      </c>
      <c r="L123" s="20"/>
      <c r="M123" s="67" t="s">
        <v>21</v>
      </c>
      <c r="N123" s="20"/>
      <c r="O123" s="9">
        <v>13192</v>
      </c>
      <c r="P123" s="20"/>
      <c r="Q123" s="24"/>
      <c r="R123" s="20"/>
      <c r="S123" s="9">
        <v>14000</v>
      </c>
      <c r="T123" s="20"/>
    </row>
    <row r="124" spans="1:20" ht="11.25" customHeight="1" x14ac:dyDescent="0.2">
      <c r="A124" s="53" t="s">
        <v>43</v>
      </c>
      <c r="C124" s="67" t="s">
        <v>21</v>
      </c>
      <c r="D124" s="17"/>
      <c r="E124" s="6">
        <v>15</v>
      </c>
      <c r="F124" s="20"/>
      <c r="G124" s="67" t="s">
        <v>21</v>
      </c>
      <c r="H124" s="20"/>
      <c r="I124" s="67" t="s">
        <v>21</v>
      </c>
      <c r="J124" s="20"/>
      <c r="K124" s="35">
        <v>3925</v>
      </c>
      <c r="L124" s="37"/>
      <c r="M124" s="35">
        <v>24400</v>
      </c>
      <c r="N124" s="18"/>
      <c r="O124" s="67" t="s">
        <v>21</v>
      </c>
      <c r="P124" s="20"/>
      <c r="Q124" s="6">
        <v>36400</v>
      </c>
      <c r="R124" s="18" t="s">
        <v>23</v>
      </c>
      <c r="S124" s="5">
        <v>116000</v>
      </c>
      <c r="T124" s="17" t="s">
        <v>23</v>
      </c>
    </row>
    <row r="125" spans="1:20" ht="11.25" customHeight="1" x14ac:dyDescent="0.2">
      <c r="A125" s="53" t="s">
        <v>44</v>
      </c>
      <c r="C125" s="35">
        <v>500</v>
      </c>
      <c r="D125" s="24"/>
      <c r="E125" s="67" t="s">
        <v>21</v>
      </c>
      <c r="F125" s="24"/>
      <c r="G125" s="35">
        <v>114843</v>
      </c>
      <c r="H125" s="24"/>
      <c r="I125" s="35">
        <v>13121</v>
      </c>
      <c r="J125" s="24"/>
      <c r="K125" s="35">
        <v>3624</v>
      </c>
      <c r="L125" s="24"/>
      <c r="M125" s="35">
        <v>4499</v>
      </c>
      <c r="N125" s="24"/>
      <c r="O125" s="35">
        <v>29900</v>
      </c>
      <c r="P125" s="24"/>
      <c r="Q125" s="35">
        <v>105000</v>
      </c>
      <c r="R125" s="23" t="s">
        <v>23</v>
      </c>
      <c r="S125" s="35">
        <v>14000</v>
      </c>
      <c r="T125" s="24" t="s">
        <v>23</v>
      </c>
    </row>
    <row r="126" spans="1:20" ht="11.25" customHeight="1" x14ac:dyDescent="0.2">
      <c r="A126" s="53" t="s">
        <v>45</v>
      </c>
      <c r="C126" s="67" t="s">
        <v>21</v>
      </c>
      <c r="D126" s="17"/>
      <c r="E126" s="67" t="s">
        <v>21</v>
      </c>
      <c r="F126" s="20"/>
      <c r="G126" s="67" t="s">
        <v>21</v>
      </c>
      <c r="H126" s="20"/>
      <c r="I126" s="67" t="s">
        <v>21</v>
      </c>
      <c r="J126" s="20"/>
      <c r="K126" s="67" t="s">
        <v>21</v>
      </c>
      <c r="L126" s="19"/>
      <c r="M126" s="67" t="s">
        <v>21</v>
      </c>
      <c r="N126" s="17"/>
      <c r="O126" s="65">
        <v>5200</v>
      </c>
      <c r="P126" s="20"/>
      <c r="Q126" s="67" t="s">
        <v>21</v>
      </c>
      <c r="R126" s="17"/>
      <c r="S126" s="67" t="s">
        <v>21</v>
      </c>
      <c r="T126" s="18"/>
    </row>
    <row r="127" spans="1:20" ht="11.25" customHeight="1" x14ac:dyDescent="0.2">
      <c r="A127" s="53" t="s">
        <v>46</v>
      </c>
      <c r="C127" s="67" t="s">
        <v>21</v>
      </c>
      <c r="D127" s="17"/>
      <c r="E127" s="67" t="s">
        <v>21</v>
      </c>
      <c r="F127" s="20"/>
      <c r="G127" s="9">
        <v>24900</v>
      </c>
      <c r="H127" s="20"/>
      <c r="I127" s="67" t="s">
        <v>21</v>
      </c>
      <c r="J127" s="20"/>
      <c r="K127" s="67" t="s">
        <v>21</v>
      </c>
      <c r="L127" s="19"/>
      <c r="M127" s="67" t="s">
        <v>21</v>
      </c>
      <c r="N127" s="18"/>
      <c r="O127" s="67" t="s">
        <v>21</v>
      </c>
      <c r="P127" s="20"/>
      <c r="Q127" s="67" t="s">
        <v>21</v>
      </c>
      <c r="R127" s="18"/>
      <c r="S127" s="67" t="s">
        <v>21</v>
      </c>
      <c r="T127" s="18"/>
    </row>
    <row r="128" spans="1:20" ht="11.25" customHeight="1" x14ac:dyDescent="0.2">
      <c r="A128" s="53" t="s">
        <v>47</v>
      </c>
      <c r="C128" s="67" t="s">
        <v>21</v>
      </c>
      <c r="D128" s="17"/>
      <c r="E128" s="67" t="s">
        <v>21</v>
      </c>
      <c r="F128" s="20"/>
      <c r="G128" s="67" t="s">
        <v>21</v>
      </c>
      <c r="H128" s="20"/>
      <c r="I128" s="67" t="s">
        <v>21</v>
      </c>
      <c r="J128" s="20"/>
      <c r="K128" s="67" t="s">
        <v>21</v>
      </c>
      <c r="L128" s="20"/>
      <c r="M128" s="67" t="s">
        <v>21</v>
      </c>
      <c r="N128" s="17"/>
      <c r="O128" s="67" t="s">
        <v>21</v>
      </c>
      <c r="P128" s="20"/>
      <c r="Q128" s="67" t="s">
        <v>21</v>
      </c>
      <c r="R128" s="18"/>
      <c r="S128" s="67" t="s">
        <v>21</v>
      </c>
      <c r="T128" s="18"/>
    </row>
    <row r="129" spans="1:20" ht="11.25" customHeight="1" x14ac:dyDescent="0.2">
      <c r="A129" s="53" t="s">
        <v>48</v>
      </c>
      <c r="C129" s="67" t="s">
        <v>21</v>
      </c>
      <c r="D129" s="17"/>
      <c r="E129" s="67" t="s">
        <v>21</v>
      </c>
      <c r="F129" s="20"/>
      <c r="G129" s="67" t="s">
        <v>21</v>
      </c>
      <c r="H129" s="20"/>
      <c r="I129" s="67" t="s">
        <v>21</v>
      </c>
      <c r="J129" s="20"/>
      <c r="K129" s="67" t="s">
        <v>21</v>
      </c>
      <c r="L129" s="20"/>
      <c r="M129" s="67" t="s">
        <v>21</v>
      </c>
      <c r="N129" s="18"/>
      <c r="O129" s="67" t="s">
        <v>21</v>
      </c>
      <c r="P129" s="20"/>
      <c r="Q129" s="67" t="s">
        <v>21</v>
      </c>
      <c r="R129" s="18"/>
      <c r="S129" s="67" t="s">
        <v>21</v>
      </c>
      <c r="T129" s="18"/>
    </row>
    <row r="130" spans="1:20" ht="11.25" customHeight="1" x14ac:dyDescent="0.2">
      <c r="A130" s="53" t="s">
        <v>49</v>
      </c>
      <c r="C130" s="67" t="s">
        <v>21</v>
      </c>
      <c r="D130" s="17"/>
      <c r="E130" s="67" t="s">
        <v>21</v>
      </c>
      <c r="F130" s="20"/>
      <c r="G130" s="67" t="s">
        <v>21</v>
      </c>
      <c r="H130" s="20"/>
      <c r="I130" s="67" t="s">
        <v>21</v>
      </c>
      <c r="J130" s="20"/>
      <c r="K130" s="67" t="s">
        <v>21</v>
      </c>
      <c r="L130" s="20"/>
      <c r="M130" s="5">
        <v>2073</v>
      </c>
      <c r="N130" s="17"/>
      <c r="O130" s="67" t="s">
        <v>21</v>
      </c>
      <c r="P130" s="20"/>
      <c r="Q130" s="67" t="s">
        <v>21</v>
      </c>
      <c r="R130" s="18"/>
      <c r="S130" s="67" t="s">
        <v>21</v>
      </c>
      <c r="T130" s="18"/>
    </row>
    <row r="131" spans="1:20" ht="11.25" customHeight="1" x14ac:dyDescent="0.2">
      <c r="A131" s="53" t="s">
        <v>50</v>
      </c>
      <c r="C131" s="67" t="s">
        <v>21</v>
      </c>
      <c r="D131" s="17"/>
      <c r="E131" s="67" t="s">
        <v>21</v>
      </c>
      <c r="F131" s="20"/>
      <c r="G131" s="67" t="s">
        <v>21</v>
      </c>
      <c r="H131" s="20"/>
      <c r="I131" s="67" t="s">
        <v>21</v>
      </c>
      <c r="J131" s="20"/>
      <c r="K131" s="67" t="s">
        <v>21</v>
      </c>
      <c r="L131" s="20"/>
      <c r="M131" s="67" t="s">
        <v>21</v>
      </c>
      <c r="N131" s="18"/>
      <c r="O131" s="67" t="s">
        <v>21</v>
      </c>
      <c r="P131" s="20"/>
      <c r="Q131" s="67" t="s">
        <v>21</v>
      </c>
      <c r="R131" s="18"/>
      <c r="S131" s="67" t="s">
        <v>21</v>
      </c>
      <c r="T131" s="18"/>
    </row>
    <row r="132" spans="1:20" ht="11.25" customHeight="1" x14ac:dyDescent="0.2">
      <c r="A132" s="53" t="s">
        <v>51</v>
      </c>
      <c r="C132" s="67" t="s">
        <v>21</v>
      </c>
      <c r="D132" s="17"/>
      <c r="E132" s="67" t="s">
        <v>21</v>
      </c>
      <c r="F132" s="20"/>
      <c r="G132" s="67" t="s">
        <v>21</v>
      </c>
      <c r="H132" s="20"/>
      <c r="I132" s="67" t="s">
        <v>21</v>
      </c>
      <c r="J132" s="20"/>
      <c r="K132" s="67" t="s">
        <v>21</v>
      </c>
      <c r="L132" s="20"/>
      <c r="M132" s="5">
        <v>554</v>
      </c>
      <c r="N132" s="17"/>
      <c r="O132" s="67" t="s">
        <v>21</v>
      </c>
      <c r="P132" s="20"/>
      <c r="Q132" s="67" t="s">
        <v>21</v>
      </c>
      <c r="R132" s="18"/>
      <c r="S132" s="67" t="s">
        <v>21</v>
      </c>
      <c r="T132" s="18"/>
    </row>
    <row r="133" spans="1:20" ht="11.25" customHeight="1" x14ac:dyDescent="0.2">
      <c r="A133" s="53" t="s">
        <v>52</v>
      </c>
      <c r="C133" s="67" t="s">
        <v>21</v>
      </c>
      <c r="D133" s="17"/>
      <c r="E133" s="67" t="s">
        <v>21</v>
      </c>
      <c r="F133" s="20"/>
      <c r="G133" s="67" t="s">
        <v>21</v>
      </c>
      <c r="H133" s="20"/>
      <c r="I133" s="67" t="s">
        <v>21</v>
      </c>
      <c r="J133" s="20"/>
      <c r="K133" s="67" t="s">
        <v>21</v>
      </c>
      <c r="L133" s="19"/>
      <c r="M133" s="5">
        <v>20</v>
      </c>
      <c r="N133" s="17" t="s">
        <v>23</v>
      </c>
      <c r="O133" s="67" t="s">
        <v>21</v>
      </c>
      <c r="P133" s="20"/>
      <c r="Q133" s="66">
        <v>2000</v>
      </c>
      <c r="R133" s="18" t="s">
        <v>23</v>
      </c>
      <c r="S133" s="67" t="s">
        <v>21</v>
      </c>
      <c r="T133" s="17"/>
    </row>
    <row r="134" spans="1:20" ht="11.25" customHeight="1" x14ac:dyDescent="0.2">
      <c r="A134" s="53" t="s">
        <v>53</v>
      </c>
      <c r="C134" s="67" t="s">
        <v>21</v>
      </c>
      <c r="D134" s="17"/>
      <c r="E134" s="67" t="s">
        <v>21</v>
      </c>
      <c r="F134" s="20"/>
      <c r="G134" s="67" t="s">
        <v>21</v>
      </c>
      <c r="H134" s="20"/>
      <c r="I134" s="67" t="s">
        <v>21</v>
      </c>
      <c r="J134" s="20"/>
      <c r="K134" s="5">
        <v>5895</v>
      </c>
      <c r="L134" s="19"/>
      <c r="M134" s="5">
        <v>6620</v>
      </c>
      <c r="N134" s="17"/>
      <c r="O134" s="67" t="s">
        <v>21</v>
      </c>
      <c r="P134" s="20"/>
      <c r="Q134" s="67" t="s">
        <v>21</v>
      </c>
      <c r="R134" s="18"/>
      <c r="S134" s="5">
        <v>36000</v>
      </c>
      <c r="T134" s="17" t="s">
        <v>23</v>
      </c>
    </row>
    <row r="135" spans="1:20" ht="11.25" customHeight="1" x14ac:dyDescent="0.2">
      <c r="A135" s="53" t="s">
        <v>54</v>
      </c>
      <c r="C135" s="5">
        <v>1</v>
      </c>
      <c r="D135" s="17"/>
      <c r="E135" s="67" t="s">
        <v>21</v>
      </c>
      <c r="F135" s="20"/>
      <c r="G135" s="6">
        <v>500</v>
      </c>
      <c r="H135" s="20" t="s">
        <v>23</v>
      </c>
      <c r="I135" s="67" t="s">
        <v>21</v>
      </c>
      <c r="J135" s="20"/>
      <c r="K135" s="67" t="s">
        <v>21</v>
      </c>
      <c r="L135" s="20"/>
      <c r="M135" s="6">
        <v>315</v>
      </c>
      <c r="N135" s="18"/>
      <c r="O135" s="9">
        <v>33400</v>
      </c>
      <c r="P135" s="20"/>
      <c r="Q135" s="67" t="s">
        <v>21</v>
      </c>
      <c r="R135" s="18"/>
      <c r="S135" s="67" t="s">
        <v>21</v>
      </c>
      <c r="T135" s="17"/>
    </row>
    <row r="136" spans="1:20" ht="11.25" customHeight="1" x14ac:dyDescent="0.2">
      <c r="A136" s="53" t="s">
        <v>55</v>
      </c>
      <c r="C136" s="6">
        <v>20</v>
      </c>
      <c r="D136" s="17"/>
      <c r="E136" s="67" t="s">
        <v>21</v>
      </c>
      <c r="F136" s="20"/>
      <c r="G136" s="67" t="s">
        <v>21</v>
      </c>
      <c r="H136" s="20"/>
      <c r="I136" s="67" t="s">
        <v>21</v>
      </c>
      <c r="J136" s="20"/>
      <c r="K136" s="6">
        <v>80</v>
      </c>
      <c r="L136" s="19"/>
      <c r="M136" s="5">
        <v>622</v>
      </c>
      <c r="N136" s="17"/>
      <c r="O136" s="67" t="s">
        <v>21</v>
      </c>
      <c r="P136" s="20"/>
      <c r="Q136" s="67" t="s">
        <v>21</v>
      </c>
      <c r="R136" s="18"/>
      <c r="S136" s="67" t="s">
        <v>21</v>
      </c>
      <c r="T136" s="18"/>
    </row>
    <row r="137" spans="1:20" ht="11.25" customHeight="1" x14ac:dyDescent="0.2">
      <c r="A137" s="84" t="s">
        <v>56</v>
      </c>
      <c r="C137" s="6">
        <v>449</v>
      </c>
      <c r="D137" s="17"/>
      <c r="E137" s="6">
        <v>129</v>
      </c>
      <c r="F137" s="20"/>
      <c r="G137" s="5">
        <v>768</v>
      </c>
      <c r="H137" s="20"/>
      <c r="I137" s="67" t="s">
        <v>21</v>
      </c>
      <c r="J137" s="20"/>
      <c r="K137" s="5">
        <v>3587</v>
      </c>
      <c r="L137" s="20"/>
      <c r="M137" s="5">
        <v>8454</v>
      </c>
      <c r="N137" s="18"/>
      <c r="O137" s="9">
        <v>29430</v>
      </c>
      <c r="P137" s="20"/>
      <c r="Q137" s="5">
        <v>39000</v>
      </c>
      <c r="R137" s="17"/>
      <c r="S137" s="5">
        <v>119000</v>
      </c>
      <c r="T137" s="17"/>
    </row>
    <row r="138" spans="1:20" ht="11.25" customHeight="1" x14ac:dyDescent="0.25">
      <c r="A138" s="188" t="s">
        <v>57</v>
      </c>
      <c r="B138" s="188"/>
      <c r="C138" s="188"/>
      <c r="D138" s="188"/>
      <c r="E138" s="188"/>
      <c r="F138" s="188"/>
      <c r="G138" s="188"/>
      <c r="H138" s="188"/>
      <c r="I138" s="188"/>
      <c r="J138" s="188"/>
      <c r="K138" s="188"/>
      <c r="L138" s="188"/>
      <c r="M138" s="188"/>
      <c r="N138" s="188"/>
      <c r="O138" s="188"/>
      <c r="P138" s="188"/>
      <c r="Q138" s="188"/>
      <c r="R138" s="188"/>
      <c r="S138" s="188"/>
      <c r="T138" s="188"/>
    </row>
    <row r="139" spans="1:20" ht="11.25" customHeight="1" x14ac:dyDescent="0.25">
      <c r="A139" s="183" t="s">
        <v>196</v>
      </c>
      <c r="B139" s="183"/>
      <c r="C139" s="183"/>
      <c r="D139" s="183"/>
      <c r="E139" s="183"/>
      <c r="F139" s="183"/>
      <c r="G139" s="183"/>
      <c r="H139" s="183"/>
      <c r="I139" s="183"/>
      <c r="J139" s="183"/>
      <c r="K139" s="183"/>
      <c r="L139" s="183"/>
      <c r="M139" s="183"/>
      <c r="N139" s="183"/>
      <c r="O139" s="183"/>
      <c r="P139" s="183"/>
      <c r="Q139" s="183"/>
      <c r="R139" s="183"/>
      <c r="S139" s="183"/>
      <c r="T139" s="183"/>
    </row>
    <row r="140" spans="1:20" ht="11.25" customHeight="1" x14ac:dyDescent="0.25">
      <c r="A140" s="183" t="s">
        <v>202</v>
      </c>
      <c r="B140" s="183"/>
      <c r="C140" s="183"/>
      <c r="D140" s="183"/>
      <c r="E140" s="183"/>
      <c r="F140" s="183"/>
      <c r="G140" s="183"/>
      <c r="H140" s="183"/>
      <c r="I140" s="183"/>
      <c r="J140" s="183"/>
      <c r="K140" s="183"/>
      <c r="L140" s="183"/>
      <c r="M140" s="183"/>
      <c r="N140" s="183"/>
      <c r="O140" s="183"/>
      <c r="P140" s="183"/>
      <c r="Q140" s="183"/>
      <c r="R140" s="183"/>
      <c r="S140" s="183"/>
      <c r="T140" s="183"/>
    </row>
    <row r="141" spans="1:20" ht="11.25" customHeight="1" x14ac:dyDescent="0.25">
      <c r="A141" s="183"/>
      <c r="B141" s="183"/>
      <c r="C141" s="183"/>
      <c r="D141" s="183"/>
      <c r="E141" s="183"/>
      <c r="F141" s="183"/>
      <c r="G141" s="183"/>
      <c r="H141" s="183"/>
      <c r="I141" s="183"/>
      <c r="J141" s="183"/>
      <c r="K141" s="183"/>
      <c r="L141" s="183"/>
      <c r="M141" s="183"/>
      <c r="N141" s="183"/>
      <c r="O141" s="183"/>
      <c r="P141" s="183"/>
      <c r="Q141" s="183"/>
      <c r="R141" s="183"/>
      <c r="S141" s="183"/>
      <c r="T141" s="183"/>
    </row>
    <row r="142" spans="1:20" ht="11.25" customHeight="1" x14ac:dyDescent="0.25">
      <c r="A142" s="183" t="s">
        <v>195</v>
      </c>
      <c r="B142" s="183"/>
      <c r="C142" s="183"/>
      <c r="D142" s="183"/>
      <c r="E142" s="183"/>
      <c r="F142" s="183"/>
      <c r="G142" s="183"/>
      <c r="H142" s="183"/>
      <c r="I142" s="183"/>
      <c r="J142" s="183"/>
      <c r="K142" s="183"/>
      <c r="L142" s="183"/>
      <c r="M142" s="183"/>
      <c r="N142" s="183"/>
      <c r="O142" s="183"/>
      <c r="P142" s="183"/>
      <c r="Q142" s="183"/>
      <c r="R142" s="183"/>
      <c r="S142" s="183"/>
      <c r="T142" s="183"/>
    </row>
    <row r="143" spans="1:20" ht="11.25" customHeight="1" x14ac:dyDescent="0.25">
      <c r="A143" s="184"/>
      <c r="B143" s="184"/>
      <c r="C143" s="184"/>
      <c r="D143" s="184"/>
      <c r="E143" s="184"/>
      <c r="F143" s="184"/>
      <c r="G143" s="184"/>
      <c r="H143" s="184"/>
      <c r="I143" s="184"/>
      <c r="J143" s="184"/>
      <c r="K143" s="184"/>
      <c r="L143" s="184"/>
      <c r="M143" s="184"/>
      <c r="N143" s="184"/>
      <c r="O143" s="184"/>
      <c r="P143" s="184"/>
      <c r="Q143" s="184"/>
      <c r="R143" s="184"/>
      <c r="S143" s="184"/>
      <c r="T143" s="184"/>
    </row>
    <row r="144" spans="1:20" ht="11.25" customHeight="1" x14ac:dyDescent="0.25">
      <c r="A144" s="63"/>
      <c r="B144" s="63"/>
      <c r="C144" s="185" t="s">
        <v>197</v>
      </c>
      <c r="D144" s="185"/>
      <c r="E144" s="185"/>
      <c r="F144" s="185"/>
      <c r="G144" s="185"/>
      <c r="H144" s="185"/>
      <c r="I144" s="185"/>
      <c r="J144" s="185"/>
      <c r="K144" s="185"/>
      <c r="L144" s="185"/>
      <c r="M144" s="185"/>
      <c r="N144" s="185"/>
      <c r="O144" s="185"/>
      <c r="P144" s="185"/>
      <c r="Q144" s="185"/>
      <c r="R144" s="185"/>
      <c r="S144" s="185"/>
      <c r="T144" s="185"/>
    </row>
    <row r="145" spans="1:20" s="41" customFormat="1" ht="11.25" customHeight="1" x14ac:dyDescent="0.25">
      <c r="A145" s="14"/>
      <c r="B145" s="14"/>
      <c r="C145" s="14"/>
      <c r="D145" s="14"/>
      <c r="E145" s="14"/>
      <c r="F145" s="14"/>
      <c r="G145" s="48" t="s">
        <v>81</v>
      </c>
      <c r="H145" s="13"/>
      <c r="I145" s="13"/>
      <c r="J145" s="13"/>
      <c r="K145" s="185" t="s">
        <v>82</v>
      </c>
      <c r="L145" s="185"/>
      <c r="M145" s="185"/>
      <c r="N145" s="13"/>
      <c r="O145" s="13"/>
      <c r="P145" s="13"/>
      <c r="Q145" s="13"/>
      <c r="R145" s="13"/>
      <c r="S145" s="13"/>
      <c r="T145" s="13"/>
    </row>
    <row r="146" spans="1:20" s="41" customFormat="1" ht="11.25" customHeight="1" x14ac:dyDescent="0.25">
      <c r="A146" s="14"/>
      <c r="B146" s="14"/>
      <c r="C146" s="187" t="s">
        <v>198</v>
      </c>
      <c r="D146" s="187"/>
      <c r="E146" s="187"/>
      <c r="F146" s="14"/>
      <c r="G146" s="48" t="s">
        <v>4</v>
      </c>
      <c r="H146" s="14"/>
      <c r="I146" s="48" t="s">
        <v>83</v>
      </c>
      <c r="J146" s="13"/>
      <c r="K146" s="48" t="s">
        <v>84</v>
      </c>
      <c r="L146" s="13"/>
      <c r="M146" s="13"/>
      <c r="N146" s="13"/>
      <c r="O146" s="184" t="s">
        <v>85</v>
      </c>
      <c r="P146" s="184"/>
      <c r="Q146" s="184"/>
      <c r="R146" s="184"/>
      <c r="S146" s="184"/>
      <c r="T146" s="184"/>
    </row>
    <row r="147" spans="1:20" s="41" customFormat="1" ht="11.25" customHeight="1" x14ac:dyDescent="0.2">
      <c r="A147" s="14"/>
      <c r="B147" s="14"/>
      <c r="C147" s="190" t="s">
        <v>86</v>
      </c>
      <c r="D147" s="190"/>
      <c r="E147" s="190"/>
      <c r="F147" s="14"/>
      <c r="G147" s="57" t="s">
        <v>87</v>
      </c>
      <c r="H147" s="14"/>
      <c r="I147" s="48" t="s">
        <v>4</v>
      </c>
      <c r="J147" s="13"/>
      <c r="K147" s="48" t="s">
        <v>88</v>
      </c>
      <c r="L147" s="13"/>
      <c r="M147" s="13"/>
      <c r="N147" s="13"/>
      <c r="O147" s="48" t="s">
        <v>10</v>
      </c>
      <c r="P147" s="13"/>
      <c r="Q147" s="185" t="s">
        <v>86</v>
      </c>
      <c r="R147" s="185"/>
      <c r="S147" s="185"/>
      <c r="T147" s="185"/>
    </row>
    <row r="148" spans="1:20" s="41" customFormat="1" ht="11.25" customHeight="1" x14ac:dyDescent="0.25">
      <c r="A148" s="12" t="s">
        <v>171</v>
      </c>
      <c r="B148" s="12"/>
      <c r="C148" s="50" t="s">
        <v>13</v>
      </c>
      <c r="D148" s="52"/>
      <c r="E148" s="50" t="s">
        <v>14</v>
      </c>
      <c r="F148" s="12"/>
      <c r="G148" s="58" t="s">
        <v>89</v>
      </c>
      <c r="H148" s="12"/>
      <c r="I148" s="50" t="s">
        <v>90</v>
      </c>
      <c r="J148" s="12"/>
      <c r="K148" s="50" t="s">
        <v>91</v>
      </c>
      <c r="L148" s="12"/>
      <c r="M148" s="12" t="s">
        <v>92</v>
      </c>
      <c r="N148" s="12"/>
      <c r="O148" s="50" t="s">
        <v>93</v>
      </c>
      <c r="P148" s="76"/>
      <c r="Q148" s="12" t="s">
        <v>13</v>
      </c>
      <c r="R148" s="12"/>
      <c r="S148" s="12" t="s">
        <v>14</v>
      </c>
      <c r="T148" s="12"/>
    </row>
    <row r="149" spans="1:20" ht="11.25" customHeight="1" x14ac:dyDescent="0.2">
      <c r="A149" s="53" t="s">
        <v>58</v>
      </c>
      <c r="C149" s="67" t="s">
        <v>21</v>
      </c>
      <c r="D149" s="17"/>
      <c r="E149" s="67" t="s">
        <v>21</v>
      </c>
      <c r="F149" s="20"/>
      <c r="G149" s="67" t="s">
        <v>21</v>
      </c>
      <c r="H149" s="20"/>
      <c r="I149" s="67" t="s">
        <v>21</v>
      </c>
      <c r="J149" s="20"/>
      <c r="K149" s="67" t="s">
        <v>21</v>
      </c>
      <c r="L149" s="17"/>
      <c r="M149" s="1">
        <v>1953</v>
      </c>
      <c r="N149" s="17"/>
      <c r="O149" s="9">
        <v>30067</v>
      </c>
      <c r="P149" s="20"/>
      <c r="Q149" s="67" t="s">
        <v>21</v>
      </c>
      <c r="R149" s="18"/>
      <c r="S149" s="5">
        <v>10000</v>
      </c>
      <c r="T149" s="17"/>
    </row>
    <row r="150" spans="1:20" ht="11.25" customHeight="1" x14ac:dyDescent="0.2">
      <c r="A150" s="53" t="s">
        <v>59</v>
      </c>
      <c r="C150" s="67" t="s">
        <v>21</v>
      </c>
      <c r="D150" s="17"/>
      <c r="E150" s="67" t="s">
        <v>21</v>
      </c>
      <c r="F150" s="20"/>
      <c r="G150" s="67" t="s">
        <v>21</v>
      </c>
      <c r="H150" s="20"/>
      <c r="I150" s="67" t="s">
        <v>21</v>
      </c>
      <c r="J150" s="20"/>
      <c r="K150" s="5">
        <v>2089</v>
      </c>
      <c r="L150" s="17"/>
      <c r="M150" s="5">
        <v>3391</v>
      </c>
      <c r="N150" s="17"/>
      <c r="O150" s="67" t="s">
        <v>21</v>
      </c>
      <c r="P150" s="20"/>
      <c r="Q150" s="67" t="s">
        <v>21</v>
      </c>
      <c r="R150" s="17"/>
      <c r="S150" s="5">
        <v>13000</v>
      </c>
      <c r="T150" s="17"/>
    </row>
    <row r="151" spans="1:20" ht="11.25" customHeight="1" x14ac:dyDescent="0.2">
      <c r="A151" s="53" t="s">
        <v>60</v>
      </c>
      <c r="C151" s="6">
        <v>755</v>
      </c>
      <c r="D151" s="17"/>
      <c r="E151" s="6">
        <v>226</v>
      </c>
      <c r="F151" s="20"/>
      <c r="G151" s="5">
        <v>313830</v>
      </c>
      <c r="H151" s="20"/>
      <c r="I151" s="5">
        <v>66700</v>
      </c>
      <c r="J151" s="20"/>
      <c r="K151" s="5">
        <v>61551</v>
      </c>
      <c r="L151" s="20"/>
      <c r="M151" s="5">
        <v>75585</v>
      </c>
      <c r="N151" s="17"/>
      <c r="O151" s="9">
        <v>200000</v>
      </c>
      <c r="P151" s="20" t="s">
        <v>23</v>
      </c>
      <c r="Q151" s="5">
        <v>230000</v>
      </c>
      <c r="R151" s="17"/>
      <c r="S151" s="67" t="s">
        <v>21</v>
      </c>
      <c r="T151" s="18"/>
    </row>
    <row r="152" spans="1:20" ht="11.25" customHeight="1" x14ac:dyDescent="0.2">
      <c r="A152" s="53" t="s">
        <v>61</v>
      </c>
      <c r="C152" s="6">
        <v>57</v>
      </c>
      <c r="D152" s="17"/>
      <c r="E152" s="5">
        <v>1</v>
      </c>
      <c r="F152" s="20"/>
      <c r="G152" s="6">
        <v>1660</v>
      </c>
      <c r="H152" s="20" t="s">
        <v>23</v>
      </c>
      <c r="I152" s="67" t="s">
        <v>21</v>
      </c>
      <c r="J152" s="20"/>
      <c r="K152" s="5">
        <v>1186</v>
      </c>
      <c r="L152" s="20"/>
      <c r="M152" s="5">
        <v>1667</v>
      </c>
      <c r="N152" s="17"/>
      <c r="O152" s="9">
        <v>5400</v>
      </c>
      <c r="P152" s="20"/>
      <c r="Q152" s="34">
        <v>13400</v>
      </c>
      <c r="R152" s="17"/>
      <c r="S152" s="67" t="s">
        <v>21</v>
      </c>
      <c r="T152" s="17"/>
    </row>
    <row r="153" spans="1:20" ht="11.25" customHeight="1" x14ac:dyDescent="0.2">
      <c r="A153" s="53" t="s">
        <v>63</v>
      </c>
      <c r="C153" s="67" t="s">
        <v>21</v>
      </c>
      <c r="D153" s="17"/>
      <c r="E153" s="6">
        <v>60</v>
      </c>
      <c r="F153" s="20"/>
      <c r="G153" s="5">
        <v>300</v>
      </c>
      <c r="H153" s="20" t="s">
        <v>23</v>
      </c>
      <c r="I153" s="67" t="s">
        <v>21</v>
      </c>
      <c r="J153" s="20"/>
      <c r="K153" s="5">
        <v>4014</v>
      </c>
      <c r="L153" s="20"/>
      <c r="M153" s="5">
        <v>4863</v>
      </c>
      <c r="N153" s="19"/>
      <c r="O153" s="67" t="s">
        <v>21</v>
      </c>
      <c r="P153" s="20"/>
      <c r="Q153" s="67" t="s">
        <v>21</v>
      </c>
      <c r="R153" s="18"/>
      <c r="S153" s="67" t="s">
        <v>21</v>
      </c>
      <c r="T153" s="18"/>
    </row>
    <row r="154" spans="1:20" ht="11.25" customHeight="1" x14ac:dyDescent="0.2">
      <c r="A154" s="53" t="s">
        <v>65</v>
      </c>
      <c r="C154" s="67" t="s">
        <v>21</v>
      </c>
      <c r="D154" s="17"/>
      <c r="E154" s="67" t="s">
        <v>21</v>
      </c>
      <c r="F154" s="20"/>
      <c r="G154" s="67" t="s">
        <v>21</v>
      </c>
      <c r="H154" s="20"/>
      <c r="I154" s="67" t="s">
        <v>21</v>
      </c>
      <c r="J154" s="20"/>
      <c r="K154" s="67" t="s">
        <v>21</v>
      </c>
      <c r="L154" s="20"/>
      <c r="M154" s="5">
        <v>662</v>
      </c>
      <c r="N154" s="19"/>
      <c r="O154" s="67" t="s">
        <v>21</v>
      </c>
      <c r="P154" s="20"/>
      <c r="Q154" s="67" t="s">
        <v>21</v>
      </c>
      <c r="R154" s="18"/>
      <c r="S154" s="5">
        <v>12000</v>
      </c>
      <c r="T154" s="17" t="s">
        <v>23</v>
      </c>
    </row>
    <row r="155" spans="1:20" ht="11.25" customHeight="1" x14ac:dyDescent="0.2">
      <c r="A155" s="53" t="s">
        <v>66</v>
      </c>
      <c r="C155" s="6">
        <v>266</v>
      </c>
      <c r="D155" s="17"/>
      <c r="E155" s="6">
        <v>94</v>
      </c>
      <c r="F155" s="20"/>
      <c r="G155" s="5">
        <v>1400</v>
      </c>
      <c r="H155" s="20" t="s">
        <v>23</v>
      </c>
      <c r="I155" s="67" t="s">
        <v>21</v>
      </c>
      <c r="J155" s="20"/>
      <c r="K155" s="5">
        <v>4049</v>
      </c>
      <c r="L155" s="20"/>
      <c r="M155" s="5">
        <v>14040</v>
      </c>
      <c r="N155" s="17"/>
      <c r="O155" s="9">
        <v>11</v>
      </c>
      <c r="P155" s="20"/>
      <c r="Q155" s="67" t="s">
        <v>21</v>
      </c>
      <c r="R155" s="18"/>
      <c r="S155" s="5">
        <v>192</v>
      </c>
      <c r="T155" s="17" t="s">
        <v>23</v>
      </c>
    </row>
    <row r="156" spans="1:20" ht="11.25" customHeight="1" x14ac:dyDescent="0.25">
      <c r="A156" s="53" t="s">
        <v>67</v>
      </c>
      <c r="C156" s="6">
        <v>163</v>
      </c>
      <c r="D156" s="17"/>
      <c r="E156" s="6">
        <v>60</v>
      </c>
      <c r="F156" s="20"/>
      <c r="G156" s="5">
        <v>8805</v>
      </c>
      <c r="H156" s="20"/>
      <c r="I156" s="5">
        <v>28600</v>
      </c>
      <c r="J156" s="20"/>
      <c r="K156" s="5">
        <v>2991</v>
      </c>
      <c r="L156" s="20"/>
      <c r="M156" s="5">
        <v>4678</v>
      </c>
      <c r="N156" s="19"/>
      <c r="O156" s="9">
        <v>65404</v>
      </c>
      <c r="P156" s="20"/>
      <c r="Q156" s="5">
        <v>27100</v>
      </c>
      <c r="R156" s="17"/>
      <c r="S156" s="5">
        <v>47200</v>
      </c>
      <c r="T156" s="17"/>
    </row>
    <row r="157" spans="1:20" ht="11.25" customHeight="1" x14ac:dyDescent="0.2">
      <c r="A157" s="53" t="s">
        <v>68</v>
      </c>
      <c r="C157" s="67" t="s">
        <v>21</v>
      </c>
      <c r="D157" s="17"/>
      <c r="E157" s="67" t="s">
        <v>21</v>
      </c>
      <c r="F157" s="20"/>
      <c r="G157" s="67" t="s">
        <v>21</v>
      </c>
      <c r="H157" s="20"/>
      <c r="I157" s="67" t="s">
        <v>21</v>
      </c>
      <c r="J157" s="20"/>
      <c r="K157" s="67" t="s">
        <v>21</v>
      </c>
      <c r="L157" s="20"/>
      <c r="M157" s="5">
        <v>1200</v>
      </c>
      <c r="N157" s="19" t="s">
        <v>23</v>
      </c>
      <c r="O157" s="67" t="s">
        <v>21</v>
      </c>
      <c r="P157" s="20"/>
      <c r="Q157" s="67" t="s">
        <v>21</v>
      </c>
      <c r="R157" s="18"/>
      <c r="S157" s="67" t="s">
        <v>21</v>
      </c>
      <c r="T157" s="17"/>
    </row>
    <row r="158" spans="1:20" ht="11.25" customHeight="1" x14ac:dyDescent="0.2">
      <c r="A158" s="53" t="s">
        <v>69</v>
      </c>
      <c r="C158" s="6" t="s">
        <v>21</v>
      </c>
      <c r="D158" s="17"/>
      <c r="E158" s="6" t="s">
        <v>21</v>
      </c>
      <c r="F158" s="20"/>
      <c r="G158" s="5">
        <v>8079</v>
      </c>
      <c r="H158" s="20"/>
      <c r="I158" s="6" t="s">
        <v>21</v>
      </c>
      <c r="J158" s="20"/>
      <c r="K158" s="6" t="s">
        <v>21</v>
      </c>
      <c r="L158" s="20"/>
      <c r="M158" s="6" t="s">
        <v>21</v>
      </c>
      <c r="N158" s="20"/>
      <c r="O158" s="9">
        <v>48058</v>
      </c>
      <c r="P158" s="20"/>
      <c r="Q158" s="67" t="s">
        <v>21</v>
      </c>
      <c r="R158" s="18"/>
      <c r="S158" s="67" t="s">
        <v>21</v>
      </c>
      <c r="T158" s="18"/>
    </row>
    <row r="159" spans="1:20" ht="11.25" customHeight="1" x14ac:dyDescent="0.25">
      <c r="A159" s="53" t="s">
        <v>71</v>
      </c>
      <c r="C159" s="6">
        <v>117</v>
      </c>
      <c r="D159" s="17"/>
      <c r="E159" s="6">
        <v>10</v>
      </c>
      <c r="F159" s="20" t="s">
        <v>23</v>
      </c>
      <c r="G159" s="5">
        <v>39290</v>
      </c>
      <c r="H159" s="20"/>
      <c r="I159" s="5">
        <v>9710</v>
      </c>
      <c r="J159" s="20"/>
      <c r="K159" s="6">
        <v>10449</v>
      </c>
      <c r="L159" s="20"/>
      <c r="M159" s="5">
        <v>40360</v>
      </c>
      <c r="N159" s="20"/>
      <c r="O159" s="9">
        <v>86000</v>
      </c>
      <c r="P159" s="20"/>
      <c r="Q159" s="6" t="s">
        <v>21</v>
      </c>
      <c r="R159" s="18"/>
      <c r="S159" s="5">
        <v>74000</v>
      </c>
      <c r="T159" s="18"/>
    </row>
    <row r="160" spans="1:20" ht="11.25" customHeight="1" x14ac:dyDescent="0.25">
      <c r="A160" s="53" t="s">
        <v>72</v>
      </c>
      <c r="C160" s="16" t="s">
        <v>21</v>
      </c>
      <c r="D160" s="17"/>
      <c r="E160" s="16" t="s">
        <v>21</v>
      </c>
      <c r="F160" s="20"/>
      <c r="G160" s="16" t="s">
        <v>21</v>
      </c>
      <c r="H160" s="20"/>
      <c r="I160" s="16" t="s">
        <v>21</v>
      </c>
      <c r="J160" s="20"/>
      <c r="K160" s="16" t="s">
        <v>21</v>
      </c>
      <c r="L160" s="20"/>
      <c r="M160" s="16" t="s">
        <v>21</v>
      </c>
      <c r="N160" s="20"/>
      <c r="O160" s="6" t="s">
        <v>21</v>
      </c>
      <c r="P160" s="20"/>
      <c r="Q160" s="6" t="s">
        <v>21</v>
      </c>
      <c r="R160" s="18"/>
      <c r="S160" s="6" t="s">
        <v>21</v>
      </c>
      <c r="T160" s="18"/>
    </row>
    <row r="161" spans="1:20" ht="11.25" customHeight="1" x14ac:dyDescent="0.2">
      <c r="A161" s="53" t="s">
        <v>73</v>
      </c>
      <c r="C161" s="6" t="s">
        <v>21</v>
      </c>
      <c r="D161" s="17"/>
      <c r="E161" s="6">
        <v>29</v>
      </c>
      <c r="F161" s="20"/>
      <c r="G161" s="6" t="s">
        <v>21</v>
      </c>
      <c r="H161" s="20"/>
      <c r="I161" s="5">
        <v>52400</v>
      </c>
      <c r="J161" s="20"/>
      <c r="K161" s="5">
        <v>21170</v>
      </c>
      <c r="L161" s="20"/>
      <c r="M161" s="35">
        <v>21366</v>
      </c>
      <c r="N161" s="19"/>
      <c r="O161" s="6" t="s">
        <v>21</v>
      </c>
      <c r="P161" s="20"/>
      <c r="Q161" s="6" t="s">
        <v>21</v>
      </c>
      <c r="R161" s="18"/>
      <c r="S161" s="5">
        <v>25000</v>
      </c>
      <c r="T161" s="17" t="s">
        <v>23</v>
      </c>
    </row>
    <row r="162" spans="1:20" ht="11.25" customHeight="1" x14ac:dyDescent="0.2">
      <c r="A162" s="53" t="s">
        <v>74</v>
      </c>
      <c r="C162" s="6" t="s">
        <v>21</v>
      </c>
      <c r="D162" s="17"/>
      <c r="E162" s="6" t="s">
        <v>21</v>
      </c>
      <c r="F162" s="20"/>
      <c r="G162" s="42">
        <v>50</v>
      </c>
      <c r="H162" s="20" t="s">
        <v>23</v>
      </c>
      <c r="I162" s="6" t="s">
        <v>21</v>
      </c>
      <c r="J162" s="20"/>
      <c r="K162" s="5">
        <v>5805</v>
      </c>
      <c r="L162" s="20"/>
      <c r="M162" s="5">
        <v>7346</v>
      </c>
      <c r="N162" s="17"/>
      <c r="O162" s="35">
        <v>100</v>
      </c>
      <c r="P162" s="20" t="s">
        <v>23</v>
      </c>
      <c r="Q162" s="5">
        <v>200000</v>
      </c>
      <c r="R162" s="20" t="s">
        <v>23</v>
      </c>
      <c r="S162" s="5">
        <v>164000</v>
      </c>
      <c r="T162" s="17"/>
    </row>
    <row r="163" spans="1:20" ht="11.25" customHeight="1" x14ac:dyDescent="0.25">
      <c r="A163" s="53" t="s">
        <v>75</v>
      </c>
      <c r="C163" s="6">
        <v>149</v>
      </c>
      <c r="D163" s="17"/>
      <c r="E163" s="16" t="s">
        <v>21</v>
      </c>
      <c r="F163" s="20"/>
      <c r="G163" s="5">
        <v>103600</v>
      </c>
      <c r="H163" s="20"/>
      <c r="I163" s="16" t="s">
        <v>21</v>
      </c>
      <c r="J163" s="20"/>
      <c r="K163" s="16" t="s">
        <v>21</v>
      </c>
      <c r="L163" s="20"/>
      <c r="M163" s="5">
        <v>885</v>
      </c>
      <c r="N163" s="17" t="s">
        <v>23</v>
      </c>
      <c r="O163" s="5">
        <v>18630</v>
      </c>
      <c r="P163" s="20"/>
      <c r="Q163" s="16" t="s">
        <v>21</v>
      </c>
      <c r="R163" s="18"/>
      <c r="S163" s="16" t="s">
        <v>21</v>
      </c>
      <c r="T163" s="18"/>
    </row>
    <row r="164" spans="1:20" ht="11.25" customHeight="1" x14ac:dyDescent="0.25">
      <c r="A164" s="71" t="s">
        <v>76</v>
      </c>
      <c r="C164" s="8">
        <v>3280</v>
      </c>
      <c r="D164" s="63"/>
      <c r="E164" s="8">
        <v>1180</v>
      </c>
      <c r="F164" s="63"/>
      <c r="G164" s="8">
        <v>648000</v>
      </c>
      <c r="H164" s="63"/>
      <c r="I164" s="8">
        <v>173000</v>
      </c>
      <c r="J164" s="63"/>
      <c r="K164" s="8">
        <v>185000</v>
      </c>
      <c r="L164" s="63"/>
      <c r="M164" s="8">
        <v>311000</v>
      </c>
      <c r="N164" s="63"/>
      <c r="O164" s="8">
        <v>624000</v>
      </c>
      <c r="P164" s="63"/>
      <c r="Q164" s="8">
        <v>799000</v>
      </c>
      <c r="R164" s="63"/>
      <c r="S164" s="8">
        <v>1190000</v>
      </c>
      <c r="T164" s="30"/>
    </row>
    <row r="165" spans="1:20" ht="11.25" customHeight="1" x14ac:dyDescent="0.25">
      <c r="A165" s="71" t="s">
        <v>77</v>
      </c>
      <c r="C165" s="72">
        <v>0.17100000000000001</v>
      </c>
      <c r="E165" s="72">
        <v>0.27500000000000002</v>
      </c>
      <c r="G165" s="72">
        <v>0.20699999999999999</v>
      </c>
      <c r="I165" s="72">
        <v>0.105</v>
      </c>
      <c r="K165" s="72">
        <v>0.13100000000000001</v>
      </c>
      <c r="M165" s="72">
        <v>0.159</v>
      </c>
      <c r="O165" s="72">
        <v>0.13800000000000001</v>
      </c>
      <c r="P165" s="13"/>
      <c r="Q165" s="72">
        <v>0.17699999999999999</v>
      </c>
      <c r="S165" s="72">
        <v>0.16300000000000001</v>
      </c>
      <c r="T165" s="18"/>
    </row>
    <row r="166" spans="1:20" ht="11.25" customHeight="1" x14ac:dyDescent="0.25">
      <c r="A166" s="53" t="s">
        <v>78</v>
      </c>
      <c r="C166" s="9">
        <v>923</v>
      </c>
      <c r="E166" s="9">
        <v>49</v>
      </c>
      <c r="G166" s="9">
        <v>187000</v>
      </c>
      <c r="I166" s="9">
        <v>30100</v>
      </c>
      <c r="K166" s="5">
        <v>27300</v>
      </c>
      <c r="M166" s="9">
        <v>85800</v>
      </c>
      <c r="O166" s="9">
        <v>294000</v>
      </c>
      <c r="P166" s="13"/>
      <c r="Q166" s="10" t="s">
        <v>21</v>
      </c>
      <c r="S166" s="9">
        <v>1060000</v>
      </c>
      <c r="T166" s="18"/>
    </row>
    <row r="167" spans="1:20" ht="11.25" customHeight="1" x14ac:dyDescent="0.25">
      <c r="A167" s="71" t="s">
        <v>77</v>
      </c>
      <c r="C167" s="73">
        <f>C166/C168</f>
        <v>4.9000000000000002E-2</v>
      </c>
      <c r="D167" s="74"/>
      <c r="E167" s="73">
        <v>1.0999999999999999E-2</v>
      </c>
      <c r="F167" s="74"/>
      <c r="G167" s="73">
        <v>0.06</v>
      </c>
      <c r="H167" s="74"/>
      <c r="I167" s="73">
        <v>1.7999999999999999E-2</v>
      </c>
      <c r="J167" s="74"/>
      <c r="K167" s="26">
        <v>1.9E-2</v>
      </c>
      <c r="L167" s="74"/>
      <c r="M167" s="73">
        <f>M166/M168</f>
        <v>4.3999999999999997E-2</v>
      </c>
      <c r="N167" s="74"/>
      <c r="O167" s="73">
        <v>6.5000000000000002E-2</v>
      </c>
      <c r="P167" s="74"/>
      <c r="Q167" s="11" t="s">
        <v>21</v>
      </c>
      <c r="R167" s="74"/>
      <c r="S167" s="73">
        <v>0.14399999999999999</v>
      </c>
      <c r="T167" s="75"/>
    </row>
    <row r="168" spans="1:20" ht="11.25" customHeight="1" x14ac:dyDescent="0.25">
      <c r="A168" s="71" t="s">
        <v>80</v>
      </c>
      <c r="B168" s="76"/>
      <c r="C168" s="27">
        <v>19000</v>
      </c>
      <c r="D168" s="28"/>
      <c r="E168" s="27">
        <v>4280</v>
      </c>
      <c r="F168" s="28"/>
      <c r="G168" s="77">
        <v>3130000</v>
      </c>
      <c r="H168" s="76"/>
      <c r="I168" s="77">
        <v>1640000</v>
      </c>
      <c r="J168" s="76"/>
      <c r="K168" s="77">
        <v>1410000</v>
      </c>
      <c r="L168" s="76"/>
      <c r="M168" s="77">
        <v>1930000</v>
      </c>
      <c r="N168" s="76"/>
      <c r="O168" s="77">
        <v>4540000</v>
      </c>
      <c r="P168" s="76"/>
      <c r="Q168" s="77">
        <v>4520000</v>
      </c>
      <c r="R168" s="76"/>
      <c r="S168" s="77">
        <v>7340000</v>
      </c>
      <c r="T168" s="78"/>
    </row>
    <row r="169" spans="1:20" ht="11.25" customHeight="1" x14ac:dyDescent="0.25">
      <c r="A169" s="188" t="s">
        <v>57</v>
      </c>
      <c r="B169" s="188"/>
      <c r="C169" s="180"/>
      <c r="D169" s="180"/>
      <c r="E169" s="180"/>
      <c r="F169" s="180"/>
      <c r="G169" s="188"/>
      <c r="H169" s="188"/>
      <c r="I169" s="188"/>
      <c r="J169" s="188"/>
      <c r="K169" s="188"/>
      <c r="L169" s="188"/>
      <c r="M169" s="188"/>
      <c r="N169" s="188"/>
      <c r="O169" s="188"/>
      <c r="P169" s="188"/>
      <c r="Q169" s="188"/>
      <c r="R169" s="188"/>
      <c r="S169" s="188"/>
      <c r="T169" s="188"/>
    </row>
    <row r="185" spans="1:20" ht="11.25" customHeight="1" x14ac:dyDescent="0.25">
      <c r="A185" s="183" t="s">
        <v>196</v>
      </c>
      <c r="B185" s="183"/>
      <c r="C185" s="183"/>
      <c r="D185" s="183"/>
      <c r="E185" s="183"/>
      <c r="F185" s="183"/>
      <c r="G185" s="183"/>
      <c r="H185" s="183"/>
      <c r="I185" s="183"/>
      <c r="J185" s="183"/>
      <c r="K185" s="183"/>
      <c r="L185" s="183"/>
      <c r="M185" s="183"/>
      <c r="N185" s="183"/>
      <c r="O185" s="183"/>
      <c r="P185" s="183"/>
      <c r="Q185" s="183"/>
      <c r="R185" s="183"/>
      <c r="S185" s="183"/>
      <c r="T185" s="183"/>
    </row>
    <row r="186" spans="1:20" ht="11.25" customHeight="1" x14ac:dyDescent="0.25">
      <c r="A186" s="183" t="s">
        <v>202</v>
      </c>
      <c r="B186" s="183"/>
      <c r="C186" s="183"/>
      <c r="D186" s="183"/>
      <c r="E186" s="183"/>
      <c r="F186" s="183"/>
      <c r="G186" s="183"/>
      <c r="H186" s="183"/>
      <c r="I186" s="183"/>
      <c r="J186" s="183"/>
      <c r="K186" s="183"/>
      <c r="L186" s="183"/>
      <c r="M186" s="183"/>
      <c r="N186" s="183"/>
      <c r="O186" s="183"/>
      <c r="P186" s="183"/>
      <c r="Q186" s="183"/>
      <c r="R186" s="183"/>
      <c r="S186" s="183"/>
      <c r="T186" s="183"/>
    </row>
    <row r="187" spans="1:20" ht="11.25" customHeight="1" x14ac:dyDescent="0.25">
      <c r="A187" s="183"/>
      <c r="B187" s="183"/>
      <c r="C187" s="183"/>
      <c r="D187" s="183"/>
      <c r="E187" s="183"/>
      <c r="F187" s="183"/>
      <c r="G187" s="183"/>
      <c r="H187" s="183"/>
      <c r="I187" s="183"/>
      <c r="J187" s="183"/>
      <c r="K187" s="183"/>
      <c r="L187" s="183"/>
      <c r="M187" s="183"/>
      <c r="N187" s="183"/>
      <c r="O187" s="183"/>
      <c r="P187" s="183"/>
      <c r="Q187" s="183"/>
      <c r="R187" s="183"/>
      <c r="S187" s="183"/>
      <c r="T187" s="183"/>
    </row>
    <row r="188" spans="1:20" ht="11.25" customHeight="1" x14ac:dyDescent="0.25">
      <c r="A188" s="183" t="s">
        <v>195</v>
      </c>
      <c r="B188" s="183"/>
      <c r="C188" s="183"/>
      <c r="D188" s="183"/>
      <c r="E188" s="183"/>
      <c r="F188" s="183"/>
      <c r="G188" s="183"/>
      <c r="H188" s="183"/>
      <c r="I188" s="183"/>
      <c r="J188" s="183"/>
      <c r="K188" s="183"/>
      <c r="L188" s="183"/>
      <c r="M188" s="183"/>
      <c r="N188" s="183"/>
      <c r="O188" s="183"/>
      <c r="P188" s="183"/>
      <c r="Q188" s="183"/>
      <c r="R188" s="183"/>
      <c r="S188" s="183"/>
      <c r="T188" s="183"/>
    </row>
    <row r="189" spans="1:20" ht="11.25" customHeight="1" x14ac:dyDescent="0.25">
      <c r="A189" s="184"/>
      <c r="B189" s="184"/>
      <c r="C189" s="184"/>
      <c r="D189" s="184"/>
      <c r="E189" s="184"/>
      <c r="F189" s="184"/>
      <c r="G189" s="184"/>
      <c r="H189" s="184"/>
      <c r="I189" s="184"/>
      <c r="J189" s="184"/>
      <c r="K189" s="184"/>
      <c r="L189" s="184"/>
      <c r="M189" s="184"/>
      <c r="N189" s="184"/>
      <c r="O189" s="184"/>
      <c r="P189" s="184"/>
      <c r="Q189" s="184"/>
      <c r="R189" s="184"/>
      <c r="S189" s="184"/>
      <c r="T189" s="184"/>
    </row>
    <row r="190" spans="1:20" ht="11.25" customHeight="1" x14ac:dyDescent="0.25">
      <c r="A190" s="63"/>
      <c r="B190" s="63"/>
      <c r="C190" s="185" t="s">
        <v>197</v>
      </c>
      <c r="D190" s="185"/>
      <c r="E190" s="185"/>
      <c r="F190" s="185"/>
      <c r="G190" s="185"/>
      <c r="H190" s="185"/>
      <c r="I190" s="185"/>
      <c r="J190" s="185"/>
      <c r="K190" s="185"/>
      <c r="L190" s="185"/>
      <c r="M190" s="185"/>
      <c r="N190" s="185"/>
      <c r="O190" s="185"/>
      <c r="P190" s="185"/>
      <c r="Q190" s="185"/>
      <c r="R190" s="185"/>
      <c r="S190" s="185"/>
      <c r="T190" s="185"/>
    </row>
    <row r="191" spans="1:20" ht="11.25" customHeight="1" x14ac:dyDescent="0.25">
      <c r="I191" s="186" t="s">
        <v>95</v>
      </c>
      <c r="J191" s="186"/>
      <c r="K191" s="186"/>
      <c r="L191" s="47"/>
      <c r="M191" s="48" t="s">
        <v>96</v>
      </c>
      <c r="N191" s="14"/>
      <c r="S191" s="48" t="s">
        <v>97</v>
      </c>
      <c r="T191" s="18"/>
    </row>
    <row r="192" spans="1:20" s="41" customFormat="1" ht="11.25" customHeight="1" x14ac:dyDescent="0.25">
      <c r="A192" s="14"/>
      <c r="B192" s="14"/>
      <c r="C192" s="48" t="s">
        <v>98</v>
      </c>
      <c r="D192" s="14"/>
      <c r="E192" s="184" t="s">
        <v>99</v>
      </c>
      <c r="F192" s="184"/>
      <c r="G192" s="184"/>
      <c r="H192" s="14"/>
      <c r="I192" s="186" t="s">
        <v>100</v>
      </c>
      <c r="J192" s="186"/>
      <c r="K192" s="186"/>
      <c r="L192" s="14"/>
      <c r="M192" s="48" t="s">
        <v>4</v>
      </c>
      <c r="N192" s="14"/>
      <c r="O192" s="184" t="s">
        <v>101</v>
      </c>
      <c r="P192" s="184"/>
      <c r="Q192" s="184"/>
      <c r="R192" s="47"/>
      <c r="S192" s="48" t="s">
        <v>4</v>
      </c>
      <c r="T192" s="47"/>
    </row>
    <row r="193" spans="1:20" s="41" customFormat="1" ht="11.25" customHeight="1" x14ac:dyDescent="0.25">
      <c r="A193" s="14"/>
      <c r="B193" s="14"/>
      <c r="C193" s="48" t="s">
        <v>4</v>
      </c>
      <c r="D193" s="14"/>
      <c r="E193" s="14"/>
      <c r="F193" s="14"/>
      <c r="G193" s="14" t="s">
        <v>102</v>
      </c>
      <c r="H193" s="14"/>
      <c r="I193" s="187" t="s">
        <v>89</v>
      </c>
      <c r="J193" s="187"/>
      <c r="K193" s="187"/>
      <c r="L193" s="14"/>
      <c r="M193" s="48" t="s">
        <v>103</v>
      </c>
      <c r="N193" s="14"/>
      <c r="O193" s="48" t="s">
        <v>104</v>
      </c>
      <c r="P193" s="14"/>
      <c r="Q193" s="48" t="s">
        <v>105</v>
      </c>
      <c r="R193" s="14"/>
      <c r="S193" s="48" t="s">
        <v>106</v>
      </c>
      <c r="T193" s="18"/>
    </row>
    <row r="194" spans="1:20" s="41" customFormat="1" ht="11.25" customHeight="1" x14ac:dyDescent="0.25">
      <c r="A194" s="12" t="s">
        <v>171</v>
      </c>
      <c r="B194" s="12"/>
      <c r="C194" s="50" t="s">
        <v>107</v>
      </c>
      <c r="D194" s="12"/>
      <c r="E194" s="12" t="s">
        <v>108</v>
      </c>
      <c r="F194" s="12"/>
      <c r="G194" s="12" t="s">
        <v>109</v>
      </c>
      <c r="H194" s="12"/>
      <c r="I194" s="59" t="s">
        <v>110</v>
      </c>
      <c r="J194" s="60"/>
      <c r="K194" s="59" t="s">
        <v>111</v>
      </c>
      <c r="L194" s="12"/>
      <c r="M194" s="50" t="s">
        <v>15</v>
      </c>
      <c r="N194" s="12"/>
      <c r="O194" s="50" t="s">
        <v>112</v>
      </c>
      <c r="P194" s="12"/>
      <c r="Q194" s="50" t="s">
        <v>113</v>
      </c>
      <c r="R194" s="12"/>
      <c r="S194" s="50" t="s">
        <v>15</v>
      </c>
      <c r="T194" s="78"/>
    </row>
    <row r="195" spans="1:20" ht="11.25" customHeight="1" x14ac:dyDescent="0.25">
      <c r="A195" s="64" t="s">
        <v>20</v>
      </c>
      <c r="C195" s="16" t="s">
        <v>21</v>
      </c>
      <c r="D195" s="18"/>
      <c r="E195" s="6">
        <v>4</v>
      </c>
      <c r="F195" s="17"/>
      <c r="G195" s="16" t="s">
        <v>21</v>
      </c>
      <c r="H195" s="18"/>
      <c r="I195" s="16" t="s">
        <v>21</v>
      </c>
      <c r="J195" s="20"/>
      <c r="K195" s="16" t="s">
        <v>21</v>
      </c>
      <c r="L195" s="18"/>
      <c r="M195" s="16" t="s">
        <v>21</v>
      </c>
      <c r="N195" s="18"/>
      <c r="O195" s="16" t="s">
        <v>21</v>
      </c>
      <c r="Q195" s="16" t="s">
        <v>21</v>
      </c>
      <c r="R195" s="20"/>
      <c r="S195" s="16" t="s">
        <v>21</v>
      </c>
      <c r="T195" s="18"/>
    </row>
    <row r="196" spans="1:20" ht="11.25" customHeight="1" x14ac:dyDescent="0.25">
      <c r="A196" s="53" t="s">
        <v>22</v>
      </c>
      <c r="C196" s="16" t="s">
        <v>21</v>
      </c>
      <c r="D196" s="18"/>
      <c r="E196" s="16" t="s">
        <v>21</v>
      </c>
      <c r="F196" s="18"/>
      <c r="G196" s="16" t="s">
        <v>21</v>
      </c>
      <c r="H196" s="18"/>
      <c r="I196" s="16" t="s">
        <v>21</v>
      </c>
      <c r="J196" s="19"/>
      <c r="K196" s="16" t="s">
        <v>21</v>
      </c>
      <c r="L196" s="18"/>
      <c r="M196" s="6">
        <v>22</v>
      </c>
      <c r="N196" s="17" t="s">
        <v>23</v>
      </c>
      <c r="O196" s="16" t="s">
        <v>21</v>
      </c>
      <c r="Q196" s="16" t="s">
        <v>21</v>
      </c>
      <c r="R196" s="20"/>
      <c r="S196" s="16" t="s">
        <v>21</v>
      </c>
      <c r="T196" s="18"/>
    </row>
    <row r="197" spans="1:20" ht="11.25" customHeight="1" x14ac:dyDescent="0.25">
      <c r="A197" s="53" t="s">
        <v>24</v>
      </c>
      <c r="C197" s="16" t="s">
        <v>21</v>
      </c>
      <c r="D197" s="18"/>
      <c r="E197" s="16" t="s">
        <v>21</v>
      </c>
      <c r="F197" s="18"/>
      <c r="G197" s="16" t="s">
        <v>21</v>
      </c>
      <c r="H197" s="17"/>
      <c r="I197" s="16" t="s">
        <v>21</v>
      </c>
      <c r="J197" s="19"/>
      <c r="K197" s="16" t="s">
        <v>21</v>
      </c>
      <c r="L197" s="18"/>
      <c r="M197" s="16" t="s">
        <v>21</v>
      </c>
      <c r="N197" s="18"/>
      <c r="O197" s="16" t="s">
        <v>21</v>
      </c>
      <c r="Q197" s="16" t="s">
        <v>21</v>
      </c>
      <c r="R197" s="20"/>
      <c r="S197" s="6">
        <v>1159</v>
      </c>
      <c r="T197" s="17" t="s">
        <v>114</v>
      </c>
    </row>
    <row r="198" spans="1:20" ht="11.25" customHeight="1" x14ac:dyDescent="0.25">
      <c r="A198" s="53" t="s">
        <v>25</v>
      </c>
      <c r="C198" s="16" t="s">
        <v>21</v>
      </c>
      <c r="D198" s="18"/>
      <c r="E198" s="16" t="s">
        <v>21</v>
      </c>
      <c r="F198" s="18"/>
      <c r="G198" s="16" t="s">
        <v>21</v>
      </c>
      <c r="H198" s="18"/>
      <c r="I198" s="16" t="s">
        <v>21</v>
      </c>
      <c r="J198" s="19"/>
      <c r="K198" s="16" t="s">
        <v>21</v>
      </c>
      <c r="L198" s="18"/>
      <c r="M198" s="6">
        <v>4</v>
      </c>
      <c r="N198" s="18"/>
      <c r="O198" s="16" t="s">
        <v>21</v>
      </c>
      <c r="Q198" s="16" t="s">
        <v>21</v>
      </c>
      <c r="R198" s="20"/>
      <c r="S198" s="16" t="s">
        <v>21</v>
      </c>
      <c r="T198" s="18"/>
    </row>
    <row r="199" spans="1:20" ht="11.25" customHeight="1" x14ac:dyDescent="0.25">
      <c r="A199" s="53" t="s">
        <v>26</v>
      </c>
      <c r="C199" s="16" t="s">
        <v>21</v>
      </c>
      <c r="D199" s="18"/>
      <c r="E199" s="16" t="s">
        <v>21</v>
      </c>
      <c r="F199" s="18"/>
      <c r="G199" s="16" t="s">
        <v>21</v>
      </c>
      <c r="H199" s="18"/>
      <c r="I199" s="16" t="s">
        <v>21</v>
      </c>
      <c r="J199" s="19"/>
      <c r="K199" s="16" t="s">
        <v>21</v>
      </c>
      <c r="L199" s="18"/>
      <c r="M199" s="16" t="s">
        <v>21</v>
      </c>
      <c r="N199" s="18"/>
      <c r="O199" s="16" t="s">
        <v>21</v>
      </c>
      <c r="Q199" s="16" t="s">
        <v>21</v>
      </c>
      <c r="R199" s="20"/>
      <c r="S199" s="16" t="s">
        <v>21</v>
      </c>
      <c r="T199" s="18"/>
    </row>
    <row r="200" spans="1:20" ht="11.25" customHeight="1" x14ac:dyDescent="0.25">
      <c r="A200" s="53" t="s">
        <v>27</v>
      </c>
      <c r="C200" s="16" t="s">
        <v>21</v>
      </c>
      <c r="D200" s="18"/>
      <c r="E200" s="16" t="s">
        <v>21</v>
      </c>
      <c r="F200" s="18"/>
      <c r="G200" s="16" t="s">
        <v>21</v>
      </c>
      <c r="H200" s="18"/>
      <c r="I200" s="16" t="s">
        <v>21</v>
      </c>
      <c r="J200" s="19"/>
      <c r="K200" s="16" t="s">
        <v>21</v>
      </c>
      <c r="L200" s="18"/>
      <c r="M200" s="16" t="s">
        <v>21</v>
      </c>
      <c r="N200" s="18"/>
      <c r="O200" s="16" t="s">
        <v>21</v>
      </c>
      <c r="Q200" s="16" t="s">
        <v>21</v>
      </c>
      <c r="R200" s="20"/>
      <c r="S200" s="16" t="s">
        <v>21</v>
      </c>
      <c r="T200" s="18"/>
    </row>
    <row r="201" spans="1:20" ht="11.25" customHeight="1" x14ac:dyDescent="0.25">
      <c r="A201" s="53" t="s">
        <v>28</v>
      </c>
      <c r="C201" s="16" t="s">
        <v>21</v>
      </c>
      <c r="D201" s="17"/>
      <c r="E201" s="16" t="s">
        <v>21</v>
      </c>
      <c r="F201" s="18"/>
      <c r="G201" s="16" t="s">
        <v>21</v>
      </c>
      <c r="H201" s="18"/>
      <c r="I201" s="16" t="s">
        <v>21</v>
      </c>
      <c r="J201" s="20"/>
      <c r="K201" s="16" t="s">
        <v>21</v>
      </c>
      <c r="L201" s="18"/>
      <c r="M201" s="16" t="s">
        <v>21</v>
      </c>
      <c r="N201" s="18"/>
      <c r="O201" s="16" t="s">
        <v>21</v>
      </c>
      <c r="Q201" s="16" t="s">
        <v>21</v>
      </c>
      <c r="R201" s="20"/>
      <c r="S201" s="16" t="s">
        <v>21</v>
      </c>
      <c r="T201" s="18"/>
    </row>
    <row r="202" spans="1:20" ht="11.25" customHeight="1" x14ac:dyDescent="0.25">
      <c r="A202" s="53" t="s">
        <v>29</v>
      </c>
      <c r="C202" s="5">
        <v>7</v>
      </c>
      <c r="D202" s="17"/>
      <c r="E202" s="16" t="s">
        <v>21</v>
      </c>
      <c r="F202" s="18"/>
      <c r="G202" s="16" t="s">
        <v>21</v>
      </c>
      <c r="H202" s="18"/>
      <c r="I202" s="16" t="s">
        <v>21</v>
      </c>
      <c r="J202" s="19"/>
      <c r="K202" s="16" t="s">
        <v>21</v>
      </c>
      <c r="L202" s="18"/>
      <c r="M202" s="6">
        <v>32</v>
      </c>
      <c r="N202" s="17"/>
      <c r="O202" s="16" t="s">
        <v>21</v>
      </c>
      <c r="Q202" s="16" t="s">
        <v>21</v>
      </c>
      <c r="R202" s="20"/>
      <c r="S202" s="16" t="s">
        <v>21</v>
      </c>
      <c r="T202" s="18"/>
    </row>
    <row r="203" spans="1:20" ht="11.25" customHeight="1" x14ac:dyDescent="0.25">
      <c r="A203" s="53" t="s">
        <v>30</v>
      </c>
      <c r="C203" s="16" t="s">
        <v>21</v>
      </c>
      <c r="D203" s="18"/>
      <c r="E203" s="16" t="s">
        <v>21</v>
      </c>
      <c r="F203" s="18"/>
      <c r="G203" s="16" t="s">
        <v>21</v>
      </c>
      <c r="H203" s="18"/>
      <c r="I203" s="16" t="s">
        <v>21</v>
      </c>
      <c r="J203" s="20"/>
      <c r="K203" s="16" t="s">
        <v>21</v>
      </c>
      <c r="L203" s="18"/>
      <c r="M203" s="16" t="s">
        <v>21</v>
      </c>
      <c r="N203" s="18"/>
      <c r="O203" s="16" t="s">
        <v>21</v>
      </c>
      <c r="Q203" s="16" t="s">
        <v>21</v>
      </c>
      <c r="R203" s="20"/>
      <c r="S203" s="16" t="s">
        <v>21</v>
      </c>
      <c r="T203" s="18"/>
    </row>
    <row r="204" spans="1:20" ht="11.25" customHeight="1" x14ac:dyDescent="0.25">
      <c r="A204" s="53" t="s">
        <v>31</v>
      </c>
      <c r="C204" s="16" t="s">
        <v>21</v>
      </c>
      <c r="D204" s="18"/>
      <c r="E204" s="16" t="s">
        <v>21</v>
      </c>
      <c r="F204" s="18"/>
      <c r="G204" s="16" t="s">
        <v>21</v>
      </c>
      <c r="H204" s="18"/>
      <c r="I204" s="16" t="s">
        <v>21</v>
      </c>
      <c r="J204" s="19"/>
      <c r="K204" s="16" t="s">
        <v>21</v>
      </c>
      <c r="L204" s="18"/>
      <c r="M204" s="16" t="s">
        <v>21</v>
      </c>
      <c r="N204" s="18"/>
      <c r="O204" s="16" t="s">
        <v>21</v>
      </c>
      <c r="Q204" s="16" t="s">
        <v>21</v>
      </c>
      <c r="R204" s="20"/>
      <c r="S204" s="16" t="s">
        <v>21</v>
      </c>
      <c r="T204" s="18"/>
    </row>
    <row r="205" spans="1:20" ht="11.25" customHeight="1" x14ac:dyDescent="0.25">
      <c r="A205" s="53" t="s">
        <v>32</v>
      </c>
      <c r="C205" s="16" t="s">
        <v>21</v>
      </c>
      <c r="D205" s="17"/>
      <c r="E205" s="16" t="s">
        <v>21</v>
      </c>
      <c r="F205" s="18"/>
      <c r="G205" s="16" t="s">
        <v>21</v>
      </c>
      <c r="H205" s="18"/>
      <c r="I205" s="16" t="s">
        <v>21</v>
      </c>
      <c r="J205" s="19"/>
      <c r="K205" s="16" t="s">
        <v>21</v>
      </c>
      <c r="L205" s="18"/>
      <c r="M205" s="16" t="s">
        <v>21</v>
      </c>
      <c r="N205" s="17"/>
      <c r="O205" s="16" t="s">
        <v>21</v>
      </c>
      <c r="Q205" s="16" t="s">
        <v>21</v>
      </c>
      <c r="R205" s="20"/>
      <c r="S205" s="16" t="s">
        <v>21</v>
      </c>
      <c r="T205" s="18"/>
    </row>
    <row r="206" spans="1:20" ht="11.25" customHeight="1" x14ac:dyDescent="0.25">
      <c r="A206" s="53" t="s">
        <v>33</v>
      </c>
      <c r="C206" s="16" t="s">
        <v>21</v>
      </c>
      <c r="D206" s="18"/>
      <c r="E206" s="16" t="s">
        <v>21</v>
      </c>
      <c r="F206" s="18"/>
      <c r="G206" s="16" t="s">
        <v>21</v>
      </c>
      <c r="H206" s="18"/>
      <c r="I206" s="16" t="s">
        <v>21</v>
      </c>
      <c r="J206" s="19"/>
      <c r="K206" s="16" t="s">
        <v>21</v>
      </c>
      <c r="L206" s="18"/>
      <c r="M206" s="16" t="s">
        <v>21</v>
      </c>
      <c r="N206" s="18"/>
      <c r="O206" s="16" t="s">
        <v>21</v>
      </c>
      <c r="Q206" s="16" t="s">
        <v>21</v>
      </c>
      <c r="R206" s="20"/>
      <c r="S206" s="16" t="s">
        <v>21</v>
      </c>
      <c r="T206" s="18"/>
    </row>
    <row r="207" spans="1:20" ht="11.25" customHeight="1" x14ac:dyDescent="0.25">
      <c r="A207" s="53" t="s">
        <v>34</v>
      </c>
      <c r="C207" s="16" t="s">
        <v>21</v>
      </c>
      <c r="D207" s="18"/>
      <c r="E207" s="16" t="s">
        <v>21</v>
      </c>
      <c r="F207" s="18"/>
      <c r="G207" s="16" t="s">
        <v>21</v>
      </c>
      <c r="H207" s="18"/>
      <c r="I207" s="16" t="s">
        <v>21</v>
      </c>
      <c r="J207" s="19"/>
      <c r="K207" s="16" t="s">
        <v>21</v>
      </c>
      <c r="L207" s="18"/>
      <c r="M207" s="16" t="s">
        <v>21</v>
      </c>
      <c r="N207" s="18"/>
      <c r="O207" s="16" t="s">
        <v>21</v>
      </c>
      <c r="Q207" s="16" t="s">
        <v>21</v>
      </c>
      <c r="R207" s="20"/>
      <c r="S207" s="16" t="s">
        <v>21</v>
      </c>
      <c r="T207" s="18"/>
    </row>
    <row r="208" spans="1:20" ht="11.25" customHeight="1" x14ac:dyDescent="0.25">
      <c r="A208" s="53" t="s">
        <v>35</v>
      </c>
      <c r="C208" s="16" t="s">
        <v>21</v>
      </c>
      <c r="D208" s="18"/>
      <c r="E208" s="6">
        <v>42</v>
      </c>
      <c r="F208" s="17"/>
      <c r="G208" s="6">
        <v>47</v>
      </c>
      <c r="H208" s="18"/>
      <c r="I208" s="6">
        <v>1036</v>
      </c>
      <c r="J208" s="19"/>
      <c r="K208" s="6">
        <v>1447</v>
      </c>
      <c r="L208" s="17"/>
      <c r="M208" s="6">
        <v>45</v>
      </c>
      <c r="N208" s="17"/>
      <c r="O208" s="16" t="s">
        <v>21</v>
      </c>
      <c r="Q208" s="16" t="s">
        <v>21</v>
      </c>
      <c r="R208" s="20"/>
      <c r="S208" s="16" t="s">
        <v>21</v>
      </c>
      <c r="T208" s="18"/>
    </row>
    <row r="209" spans="1:20" ht="11.25" customHeight="1" x14ac:dyDescent="0.25">
      <c r="A209" s="53" t="s">
        <v>36</v>
      </c>
      <c r="C209" s="16" t="s">
        <v>21</v>
      </c>
      <c r="D209" s="18"/>
      <c r="E209" s="16" t="s">
        <v>21</v>
      </c>
      <c r="F209" s="18"/>
      <c r="G209" s="6">
        <v>9</v>
      </c>
      <c r="H209" s="17"/>
      <c r="I209" s="16" t="s">
        <v>21</v>
      </c>
      <c r="J209" s="19"/>
      <c r="K209" s="16" t="s">
        <v>21</v>
      </c>
      <c r="L209" s="18"/>
      <c r="M209" s="16" t="s">
        <v>21</v>
      </c>
      <c r="N209" s="17"/>
      <c r="O209" s="16" t="s">
        <v>21</v>
      </c>
      <c r="Q209" s="16" t="s">
        <v>21</v>
      </c>
      <c r="R209" s="20"/>
      <c r="S209" s="16" t="s">
        <v>21</v>
      </c>
      <c r="T209" s="18"/>
    </row>
    <row r="210" spans="1:20" ht="11.25" customHeight="1" x14ac:dyDescent="0.25">
      <c r="A210" s="53" t="s">
        <v>37</v>
      </c>
      <c r="C210" s="6">
        <v>224</v>
      </c>
      <c r="D210" s="17"/>
      <c r="E210" s="16" t="s">
        <v>21</v>
      </c>
      <c r="F210" s="18"/>
      <c r="G210" s="16" t="s">
        <v>21</v>
      </c>
      <c r="H210" s="18"/>
      <c r="I210" s="16" t="s">
        <v>21</v>
      </c>
      <c r="J210" s="19"/>
      <c r="K210" s="16" t="s">
        <v>21</v>
      </c>
      <c r="L210" s="18"/>
      <c r="M210" s="1">
        <v>13</v>
      </c>
      <c r="N210" s="17"/>
      <c r="O210" s="16" t="s">
        <v>21</v>
      </c>
      <c r="Q210" s="16" t="s">
        <v>21</v>
      </c>
      <c r="R210" s="20"/>
      <c r="S210" s="16" t="s">
        <v>21</v>
      </c>
      <c r="T210" s="18"/>
    </row>
    <row r="211" spans="1:20" ht="11.25" customHeight="1" x14ac:dyDescent="0.25">
      <c r="A211" s="53" t="s">
        <v>38</v>
      </c>
      <c r="C211" s="16" t="s">
        <v>21</v>
      </c>
      <c r="D211" s="18"/>
      <c r="E211" s="16" t="s">
        <v>21</v>
      </c>
      <c r="F211" s="18"/>
      <c r="G211" s="16" t="s">
        <v>21</v>
      </c>
      <c r="H211" s="18"/>
      <c r="I211" s="16" t="s">
        <v>21</v>
      </c>
      <c r="J211" s="19"/>
      <c r="K211" s="16" t="s">
        <v>21</v>
      </c>
      <c r="L211" s="17"/>
      <c r="M211" s="16" t="s">
        <v>21</v>
      </c>
      <c r="N211" s="18"/>
      <c r="O211" s="16" t="s">
        <v>21</v>
      </c>
      <c r="Q211" s="16" t="s">
        <v>21</v>
      </c>
      <c r="R211" s="20"/>
      <c r="S211" s="16" t="s">
        <v>21</v>
      </c>
      <c r="T211" s="18"/>
    </row>
    <row r="212" spans="1:20" ht="11.25" customHeight="1" x14ac:dyDescent="0.25">
      <c r="A212" s="53" t="s">
        <v>39</v>
      </c>
      <c r="C212" s="16" t="s">
        <v>21</v>
      </c>
      <c r="D212" s="17"/>
      <c r="E212" s="6">
        <v>5</v>
      </c>
      <c r="F212" s="17"/>
      <c r="G212" s="16" t="s">
        <v>21</v>
      </c>
      <c r="H212" s="17"/>
      <c r="I212" s="16" t="s">
        <v>21</v>
      </c>
      <c r="J212" s="19"/>
      <c r="K212" s="16" t="s">
        <v>21</v>
      </c>
      <c r="L212" s="18"/>
      <c r="M212" s="6">
        <v>29</v>
      </c>
      <c r="N212" s="17"/>
      <c r="O212" s="16" t="s">
        <v>21</v>
      </c>
      <c r="Q212" s="16" t="s">
        <v>21</v>
      </c>
      <c r="R212" s="20"/>
      <c r="S212" s="16" t="s">
        <v>21</v>
      </c>
      <c r="T212" s="18"/>
    </row>
    <row r="213" spans="1:20" ht="11.25" customHeight="1" x14ac:dyDescent="0.25">
      <c r="A213" s="53" t="s">
        <v>40</v>
      </c>
      <c r="C213" s="16" t="s">
        <v>21</v>
      </c>
      <c r="D213" s="17"/>
      <c r="E213" s="16" t="s">
        <v>21</v>
      </c>
      <c r="F213" s="18"/>
      <c r="G213" s="16" t="s">
        <v>21</v>
      </c>
      <c r="H213" s="18"/>
      <c r="I213" s="16" t="s">
        <v>21</v>
      </c>
      <c r="J213" s="19"/>
      <c r="K213" s="16" t="s">
        <v>21</v>
      </c>
      <c r="L213" s="18"/>
      <c r="M213" s="16" t="s">
        <v>21</v>
      </c>
      <c r="N213" s="18"/>
      <c r="O213" s="16" t="s">
        <v>21</v>
      </c>
      <c r="Q213" s="16" t="s">
        <v>21</v>
      </c>
      <c r="R213" s="20"/>
      <c r="S213" s="16" t="s">
        <v>21</v>
      </c>
      <c r="T213" s="18"/>
    </row>
    <row r="214" spans="1:20" ht="11.25" customHeight="1" x14ac:dyDescent="0.2">
      <c r="A214" s="53" t="s">
        <v>41</v>
      </c>
      <c r="C214" s="67" t="s">
        <v>21</v>
      </c>
      <c r="D214" s="18"/>
      <c r="E214" s="67" t="s">
        <v>21</v>
      </c>
      <c r="F214" s="18"/>
      <c r="G214" s="67" t="s">
        <v>21</v>
      </c>
      <c r="H214" s="18"/>
      <c r="I214" s="67" t="s">
        <v>21</v>
      </c>
      <c r="J214" s="19"/>
      <c r="K214" s="67" t="s">
        <v>21</v>
      </c>
      <c r="L214" s="18"/>
      <c r="M214" s="67" t="s">
        <v>21</v>
      </c>
      <c r="N214" s="18"/>
      <c r="O214" s="67" t="s">
        <v>21</v>
      </c>
      <c r="Q214" s="67" t="s">
        <v>21</v>
      </c>
      <c r="R214" s="20"/>
      <c r="S214" s="67" t="s">
        <v>21</v>
      </c>
      <c r="T214" s="18"/>
    </row>
    <row r="215" spans="1:20" ht="11.25" customHeight="1" x14ac:dyDescent="0.2">
      <c r="A215" s="53" t="s">
        <v>42</v>
      </c>
      <c r="C215" s="67" t="s">
        <v>21</v>
      </c>
      <c r="D215" s="20"/>
      <c r="E215" s="67" t="s">
        <v>21</v>
      </c>
      <c r="F215" s="18"/>
      <c r="G215" s="67" t="s">
        <v>21</v>
      </c>
      <c r="H215" s="20"/>
      <c r="I215" s="67" t="s">
        <v>21</v>
      </c>
      <c r="J215" s="20"/>
      <c r="K215" s="67" t="s">
        <v>21</v>
      </c>
      <c r="L215" s="20"/>
      <c r="M215" s="9">
        <v>1</v>
      </c>
      <c r="N215" s="20"/>
      <c r="O215" s="67" t="s">
        <v>21</v>
      </c>
      <c r="P215" s="20"/>
      <c r="Q215" s="67" t="s">
        <v>21</v>
      </c>
      <c r="R215" s="20"/>
      <c r="S215" s="67" t="s">
        <v>21</v>
      </c>
      <c r="T215" s="20"/>
    </row>
    <row r="216" spans="1:20" ht="11.25" customHeight="1" x14ac:dyDescent="0.2">
      <c r="A216" s="53" t="s">
        <v>43</v>
      </c>
      <c r="C216" s="67" t="s">
        <v>21</v>
      </c>
      <c r="D216" s="18"/>
      <c r="E216" s="67" t="s">
        <v>21</v>
      </c>
      <c r="F216" s="18"/>
      <c r="G216" s="67" t="s">
        <v>21</v>
      </c>
      <c r="H216" s="18"/>
      <c r="I216" s="67" t="s">
        <v>21</v>
      </c>
      <c r="J216" s="20"/>
      <c r="K216" s="67" t="s">
        <v>21</v>
      </c>
      <c r="L216" s="18"/>
      <c r="M216" s="67" t="s">
        <v>21</v>
      </c>
      <c r="N216" s="17"/>
      <c r="O216" s="67" t="s">
        <v>21</v>
      </c>
      <c r="Q216" s="67" t="s">
        <v>21</v>
      </c>
      <c r="R216" s="20"/>
      <c r="S216" s="67" t="s">
        <v>21</v>
      </c>
      <c r="T216" s="18"/>
    </row>
    <row r="217" spans="1:20" ht="11.25" customHeight="1" x14ac:dyDescent="0.2">
      <c r="A217" s="53" t="s">
        <v>44</v>
      </c>
      <c r="C217" s="35">
        <v>237</v>
      </c>
      <c r="D217" s="23" t="s">
        <v>115</v>
      </c>
      <c r="E217" s="67" t="s">
        <v>21</v>
      </c>
      <c r="F217" s="24"/>
      <c r="G217" s="67" t="s">
        <v>21</v>
      </c>
      <c r="H217" s="24"/>
      <c r="I217" s="67" t="s">
        <v>21</v>
      </c>
      <c r="J217" s="24"/>
      <c r="K217" s="67" t="s">
        <v>21</v>
      </c>
      <c r="L217" s="24"/>
      <c r="M217" s="35">
        <v>400</v>
      </c>
      <c r="N217" s="23" t="s">
        <v>23</v>
      </c>
      <c r="O217" s="35">
        <v>12000</v>
      </c>
      <c r="P217" s="23" t="s">
        <v>23</v>
      </c>
      <c r="Q217" s="35">
        <v>15000</v>
      </c>
      <c r="R217" s="23" t="s">
        <v>23</v>
      </c>
      <c r="S217" s="67" t="s">
        <v>21</v>
      </c>
      <c r="T217" s="24"/>
    </row>
    <row r="218" spans="1:20" ht="11.25" customHeight="1" x14ac:dyDescent="0.2">
      <c r="A218" s="53" t="s">
        <v>45</v>
      </c>
      <c r="C218" s="67" t="s">
        <v>21</v>
      </c>
      <c r="D218" s="17"/>
      <c r="E218" s="6">
        <v>5</v>
      </c>
      <c r="F218" s="18"/>
      <c r="G218" s="67" t="s">
        <v>21</v>
      </c>
      <c r="H218" s="17"/>
      <c r="I218" s="67" t="s">
        <v>21</v>
      </c>
      <c r="J218" s="20"/>
      <c r="K218" s="67" t="s">
        <v>21</v>
      </c>
      <c r="L218" s="18"/>
      <c r="M218" s="67" t="s">
        <v>21</v>
      </c>
      <c r="N218" s="18"/>
      <c r="O218" s="67" t="s">
        <v>21</v>
      </c>
      <c r="Q218" s="67" t="s">
        <v>21</v>
      </c>
      <c r="R218" s="20"/>
      <c r="S218" s="67" t="s">
        <v>21</v>
      </c>
      <c r="T218" s="18"/>
    </row>
    <row r="219" spans="1:20" ht="11.25" customHeight="1" x14ac:dyDescent="0.2">
      <c r="A219" s="53" t="s">
        <v>46</v>
      </c>
      <c r="C219" s="67" t="s">
        <v>21</v>
      </c>
      <c r="D219" s="17"/>
      <c r="E219" s="67" t="s">
        <v>21</v>
      </c>
      <c r="F219" s="17"/>
      <c r="G219" s="67" t="s">
        <v>21</v>
      </c>
      <c r="H219" s="17"/>
      <c r="I219" s="67" t="s">
        <v>21</v>
      </c>
      <c r="J219" s="19"/>
      <c r="K219" s="67" t="s">
        <v>21</v>
      </c>
      <c r="L219" s="18"/>
      <c r="M219" s="6">
        <v>6</v>
      </c>
      <c r="N219" s="17" t="s">
        <v>23</v>
      </c>
      <c r="O219" s="67" t="s">
        <v>21</v>
      </c>
      <c r="P219" s="17"/>
      <c r="Q219" s="67" t="s">
        <v>21</v>
      </c>
      <c r="R219" s="18"/>
      <c r="S219" s="67" t="s">
        <v>21</v>
      </c>
      <c r="T219" s="18"/>
    </row>
    <row r="220" spans="1:20" ht="11.25" customHeight="1" x14ac:dyDescent="0.2">
      <c r="A220" s="53" t="s">
        <v>47</v>
      </c>
      <c r="C220" s="67" t="s">
        <v>21</v>
      </c>
      <c r="D220" s="18"/>
      <c r="E220" s="67" t="s">
        <v>21</v>
      </c>
      <c r="F220" s="18"/>
      <c r="G220" s="67" t="s">
        <v>21</v>
      </c>
      <c r="H220" s="18"/>
      <c r="I220" s="67" t="s">
        <v>21</v>
      </c>
      <c r="J220" s="20"/>
      <c r="K220" s="67" t="s">
        <v>21</v>
      </c>
      <c r="L220" s="18"/>
      <c r="M220" s="67" t="s">
        <v>21</v>
      </c>
      <c r="N220" s="18"/>
      <c r="O220" s="67" t="s">
        <v>21</v>
      </c>
      <c r="Q220" s="67" t="s">
        <v>21</v>
      </c>
      <c r="R220" s="20"/>
      <c r="S220" s="67" t="s">
        <v>21</v>
      </c>
      <c r="T220" s="18"/>
    </row>
    <row r="221" spans="1:20" ht="11.25" customHeight="1" x14ac:dyDescent="0.2">
      <c r="A221" s="53" t="s">
        <v>48</v>
      </c>
      <c r="C221" s="67" t="s">
        <v>21</v>
      </c>
      <c r="D221" s="18"/>
      <c r="E221" s="67" t="s">
        <v>21</v>
      </c>
      <c r="F221" s="18"/>
      <c r="G221" s="67" t="s">
        <v>21</v>
      </c>
      <c r="H221" s="18"/>
      <c r="I221" s="67" t="s">
        <v>21</v>
      </c>
      <c r="J221" s="20"/>
      <c r="K221" s="67" t="s">
        <v>21</v>
      </c>
      <c r="L221" s="18"/>
      <c r="M221" s="67" t="s">
        <v>21</v>
      </c>
      <c r="N221" s="18"/>
      <c r="O221" s="67" t="s">
        <v>21</v>
      </c>
      <c r="Q221" s="67" t="s">
        <v>21</v>
      </c>
      <c r="R221" s="20"/>
      <c r="S221" s="67" t="s">
        <v>21</v>
      </c>
      <c r="T221" s="18"/>
    </row>
    <row r="222" spans="1:20" ht="11.25" customHeight="1" x14ac:dyDescent="0.2">
      <c r="A222" s="53" t="s">
        <v>49</v>
      </c>
      <c r="C222" s="67" t="s">
        <v>21</v>
      </c>
      <c r="D222" s="18"/>
      <c r="E222" s="67" t="s">
        <v>21</v>
      </c>
      <c r="F222" s="18"/>
      <c r="G222" s="67" t="s">
        <v>21</v>
      </c>
      <c r="H222" s="18"/>
      <c r="I222" s="67" t="s">
        <v>21</v>
      </c>
      <c r="J222" s="20"/>
      <c r="K222" s="67" t="s">
        <v>21</v>
      </c>
      <c r="L222" s="18"/>
      <c r="M222" s="67" t="s">
        <v>21</v>
      </c>
      <c r="N222" s="18"/>
      <c r="O222" s="67" t="s">
        <v>21</v>
      </c>
      <c r="Q222" s="67" t="s">
        <v>21</v>
      </c>
      <c r="R222" s="20"/>
      <c r="S222" s="67" t="s">
        <v>21</v>
      </c>
      <c r="T222" s="18"/>
    </row>
    <row r="223" spans="1:20" ht="11.25" customHeight="1" x14ac:dyDescent="0.2">
      <c r="A223" s="53" t="s">
        <v>50</v>
      </c>
      <c r="C223" s="67" t="s">
        <v>21</v>
      </c>
      <c r="D223" s="18"/>
      <c r="E223" s="67" t="s">
        <v>21</v>
      </c>
      <c r="F223" s="18"/>
      <c r="G223" s="67" t="s">
        <v>21</v>
      </c>
      <c r="H223" s="18"/>
      <c r="I223" s="67" t="s">
        <v>21</v>
      </c>
      <c r="J223" s="20"/>
      <c r="K223" s="67" t="s">
        <v>21</v>
      </c>
      <c r="L223" s="18"/>
      <c r="M223" s="67" t="s">
        <v>21</v>
      </c>
      <c r="N223" s="18"/>
      <c r="O223" s="67" t="s">
        <v>21</v>
      </c>
      <c r="Q223" s="67" t="s">
        <v>21</v>
      </c>
      <c r="R223" s="20"/>
      <c r="S223" s="67" t="s">
        <v>21</v>
      </c>
      <c r="T223" s="18"/>
    </row>
    <row r="224" spans="1:20" ht="11.25" customHeight="1" x14ac:dyDescent="0.2">
      <c r="A224" s="53" t="s">
        <v>51</v>
      </c>
      <c r="C224" s="67" t="s">
        <v>21</v>
      </c>
      <c r="D224" s="18"/>
      <c r="E224" s="67" t="s">
        <v>21</v>
      </c>
      <c r="F224" s="18"/>
      <c r="G224" s="67" t="s">
        <v>21</v>
      </c>
      <c r="H224" s="18"/>
      <c r="I224" s="67" t="s">
        <v>21</v>
      </c>
      <c r="J224" s="19"/>
      <c r="K224" s="67" t="s">
        <v>21</v>
      </c>
      <c r="L224" s="18"/>
      <c r="M224" s="67" t="s">
        <v>21</v>
      </c>
      <c r="N224" s="18"/>
      <c r="O224" s="67" t="s">
        <v>21</v>
      </c>
      <c r="Q224" s="67" t="s">
        <v>21</v>
      </c>
      <c r="R224" s="20"/>
      <c r="S224" s="67" t="s">
        <v>21</v>
      </c>
      <c r="T224" s="18"/>
    </row>
    <row r="225" spans="1:20" ht="11.25" customHeight="1" x14ac:dyDescent="0.2">
      <c r="A225" s="53" t="s">
        <v>52</v>
      </c>
      <c r="C225" s="67" t="s">
        <v>21</v>
      </c>
      <c r="D225" s="17"/>
      <c r="E225" s="67" t="s">
        <v>21</v>
      </c>
      <c r="F225" s="18"/>
      <c r="G225" s="67" t="s">
        <v>21</v>
      </c>
      <c r="H225" s="18"/>
      <c r="I225" s="67" t="s">
        <v>21</v>
      </c>
      <c r="J225" s="20"/>
      <c r="K225" s="67" t="s">
        <v>21</v>
      </c>
      <c r="L225" s="18"/>
      <c r="M225" s="67" t="s">
        <v>21</v>
      </c>
      <c r="N225" s="18"/>
      <c r="O225" s="67" t="s">
        <v>21</v>
      </c>
      <c r="Q225" s="67" t="s">
        <v>21</v>
      </c>
      <c r="R225" s="20"/>
      <c r="S225" s="67" t="s">
        <v>21</v>
      </c>
      <c r="T225" s="18"/>
    </row>
    <row r="226" spans="1:20" ht="11.25" customHeight="1" x14ac:dyDescent="0.2">
      <c r="A226" s="53" t="s">
        <v>53</v>
      </c>
      <c r="C226" s="67" t="s">
        <v>21</v>
      </c>
      <c r="D226" s="18"/>
      <c r="E226" s="67" t="s">
        <v>21</v>
      </c>
      <c r="F226" s="18"/>
      <c r="G226" s="67" t="s">
        <v>21</v>
      </c>
      <c r="H226" s="18"/>
      <c r="I226" s="67" t="s">
        <v>21</v>
      </c>
      <c r="J226" s="20"/>
      <c r="K226" s="67" t="s">
        <v>21</v>
      </c>
      <c r="L226" s="18"/>
      <c r="M226" s="67" t="s">
        <v>21</v>
      </c>
      <c r="N226" s="18"/>
      <c r="O226" s="67" t="s">
        <v>21</v>
      </c>
      <c r="Q226" s="67" t="s">
        <v>21</v>
      </c>
      <c r="R226" s="20"/>
      <c r="S226" s="67" t="s">
        <v>21</v>
      </c>
      <c r="T226" s="18"/>
    </row>
    <row r="227" spans="1:20" ht="11.25" customHeight="1" x14ac:dyDescent="0.2">
      <c r="A227" s="53" t="s">
        <v>54</v>
      </c>
      <c r="C227" s="67" t="s">
        <v>21</v>
      </c>
      <c r="D227" s="17"/>
      <c r="E227" s="67" t="s">
        <v>21</v>
      </c>
      <c r="F227" s="18"/>
      <c r="G227" s="67" t="s">
        <v>21</v>
      </c>
      <c r="H227" s="17"/>
      <c r="I227" s="67" t="s">
        <v>21</v>
      </c>
      <c r="J227" s="20"/>
      <c r="K227" s="67" t="s">
        <v>21</v>
      </c>
      <c r="L227" s="18"/>
      <c r="M227" s="6">
        <v>17</v>
      </c>
      <c r="N227" s="18" t="s">
        <v>23</v>
      </c>
      <c r="O227" s="67" t="s">
        <v>21</v>
      </c>
      <c r="Q227" s="67" t="s">
        <v>21</v>
      </c>
      <c r="R227" s="20"/>
      <c r="S227" s="67" t="s">
        <v>21</v>
      </c>
      <c r="T227" s="18"/>
    </row>
    <row r="228" spans="1:20" ht="11.25" customHeight="1" x14ac:dyDescent="0.2">
      <c r="A228" s="53" t="s">
        <v>55</v>
      </c>
      <c r="C228" s="67" t="s">
        <v>21</v>
      </c>
      <c r="D228" s="18"/>
      <c r="E228" s="29" t="s">
        <v>116</v>
      </c>
      <c r="F228" s="17"/>
      <c r="G228" s="6">
        <v>91</v>
      </c>
      <c r="H228" s="17"/>
      <c r="I228" s="16" t="s">
        <v>21</v>
      </c>
      <c r="J228" s="19"/>
      <c r="K228" s="6">
        <v>2271</v>
      </c>
      <c r="L228" s="18"/>
      <c r="M228" s="67" t="s">
        <v>21</v>
      </c>
      <c r="N228" s="18"/>
      <c r="O228" s="6">
        <v>780000</v>
      </c>
      <c r="P228" s="17" t="s">
        <v>23</v>
      </c>
      <c r="Q228" s="67" t="s">
        <v>21</v>
      </c>
      <c r="R228" s="20"/>
      <c r="S228" s="67" t="s">
        <v>21</v>
      </c>
      <c r="T228" s="18"/>
    </row>
    <row r="229" spans="1:20" ht="11.25" customHeight="1" x14ac:dyDescent="0.2">
      <c r="A229" s="84" t="s">
        <v>56</v>
      </c>
      <c r="C229" s="67" t="s">
        <v>21</v>
      </c>
      <c r="D229" s="17"/>
      <c r="E229" s="67" t="s">
        <v>21</v>
      </c>
      <c r="F229" s="18"/>
      <c r="G229" s="67" t="s">
        <v>21</v>
      </c>
      <c r="H229" s="18"/>
      <c r="I229" s="6">
        <v>4</v>
      </c>
      <c r="J229" s="19"/>
      <c r="K229" s="6">
        <v>6</v>
      </c>
      <c r="L229" s="17"/>
      <c r="M229" s="6">
        <v>1303</v>
      </c>
      <c r="N229" s="17"/>
      <c r="O229" s="67" t="s">
        <v>21</v>
      </c>
      <c r="Q229" s="67" t="s">
        <v>21</v>
      </c>
      <c r="R229" s="20"/>
      <c r="S229" s="67" t="s">
        <v>21</v>
      </c>
      <c r="T229" s="18"/>
    </row>
    <row r="230" spans="1:20" ht="11.25" customHeight="1" x14ac:dyDescent="0.25">
      <c r="A230" s="188" t="s">
        <v>57</v>
      </c>
      <c r="B230" s="188"/>
      <c r="C230" s="188"/>
      <c r="D230" s="188"/>
      <c r="E230" s="188"/>
      <c r="F230" s="188"/>
      <c r="G230" s="188"/>
      <c r="H230" s="188"/>
      <c r="I230" s="188"/>
      <c r="J230" s="188"/>
      <c r="K230" s="188"/>
      <c r="L230" s="188"/>
      <c r="M230" s="188"/>
      <c r="N230" s="188"/>
      <c r="O230" s="188"/>
      <c r="P230" s="188"/>
      <c r="Q230" s="188"/>
      <c r="R230" s="188"/>
      <c r="S230" s="188"/>
      <c r="T230" s="188"/>
    </row>
    <row r="231" spans="1:20" ht="11.25" customHeight="1" x14ac:dyDescent="0.25">
      <c r="A231" s="183" t="s">
        <v>196</v>
      </c>
      <c r="B231" s="183"/>
      <c r="C231" s="183"/>
      <c r="D231" s="183"/>
      <c r="E231" s="183"/>
      <c r="F231" s="183"/>
      <c r="G231" s="183"/>
      <c r="H231" s="183"/>
      <c r="I231" s="183"/>
      <c r="J231" s="183"/>
      <c r="K231" s="183"/>
      <c r="L231" s="183"/>
      <c r="M231" s="183"/>
      <c r="N231" s="183"/>
      <c r="O231" s="183"/>
      <c r="P231" s="183"/>
      <c r="Q231" s="183"/>
      <c r="R231" s="183"/>
      <c r="S231" s="183"/>
      <c r="T231" s="183"/>
    </row>
    <row r="232" spans="1:20" ht="11.25" customHeight="1" x14ac:dyDescent="0.25">
      <c r="A232" s="183" t="s">
        <v>202</v>
      </c>
      <c r="B232" s="183"/>
      <c r="C232" s="183"/>
      <c r="D232" s="183"/>
      <c r="E232" s="183"/>
      <c r="F232" s="183"/>
      <c r="G232" s="183"/>
      <c r="H232" s="183"/>
      <c r="I232" s="183"/>
      <c r="J232" s="183"/>
      <c r="K232" s="183"/>
      <c r="L232" s="183"/>
      <c r="M232" s="183"/>
      <c r="N232" s="183"/>
      <c r="O232" s="183"/>
      <c r="P232" s="183"/>
      <c r="Q232" s="183"/>
      <c r="R232" s="183"/>
      <c r="S232" s="183"/>
      <c r="T232" s="183"/>
    </row>
    <row r="233" spans="1:20" ht="11.25" customHeight="1" x14ac:dyDescent="0.25">
      <c r="A233" s="183"/>
      <c r="B233" s="183"/>
      <c r="C233" s="183"/>
      <c r="D233" s="183"/>
      <c r="E233" s="183"/>
      <c r="F233" s="183"/>
      <c r="G233" s="183"/>
      <c r="H233" s="183"/>
      <c r="I233" s="183"/>
      <c r="J233" s="183"/>
      <c r="K233" s="183"/>
      <c r="L233" s="183"/>
      <c r="M233" s="183"/>
      <c r="N233" s="183"/>
      <c r="O233" s="183"/>
      <c r="P233" s="183"/>
      <c r="Q233" s="183"/>
      <c r="R233" s="183"/>
      <c r="S233" s="183"/>
      <c r="T233" s="183"/>
    </row>
    <row r="234" spans="1:20" ht="11.25" customHeight="1" x14ac:dyDescent="0.25">
      <c r="A234" s="183" t="s">
        <v>195</v>
      </c>
      <c r="B234" s="183"/>
      <c r="C234" s="183"/>
      <c r="D234" s="183"/>
      <c r="E234" s="183"/>
      <c r="F234" s="183"/>
      <c r="G234" s="183"/>
      <c r="H234" s="183"/>
      <c r="I234" s="183"/>
      <c r="J234" s="183"/>
      <c r="K234" s="183"/>
      <c r="L234" s="183"/>
      <c r="M234" s="183"/>
      <c r="N234" s="183"/>
      <c r="O234" s="183"/>
      <c r="P234" s="183"/>
      <c r="Q234" s="183"/>
      <c r="R234" s="183"/>
      <c r="S234" s="183"/>
      <c r="T234" s="183"/>
    </row>
    <row r="235" spans="1:20" ht="11.25" customHeight="1" x14ac:dyDescent="0.25">
      <c r="A235" s="184"/>
      <c r="B235" s="184"/>
      <c r="C235" s="184"/>
      <c r="D235" s="184"/>
      <c r="E235" s="184"/>
      <c r="F235" s="184"/>
      <c r="G235" s="184"/>
      <c r="H235" s="184"/>
      <c r="I235" s="184"/>
      <c r="J235" s="184"/>
      <c r="K235" s="184"/>
      <c r="L235" s="184"/>
      <c r="M235" s="184"/>
      <c r="N235" s="184"/>
      <c r="O235" s="184"/>
      <c r="P235" s="184"/>
      <c r="Q235" s="184"/>
      <c r="R235" s="184"/>
      <c r="S235" s="184"/>
      <c r="T235" s="184"/>
    </row>
    <row r="236" spans="1:20" ht="11.25" customHeight="1" x14ac:dyDescent="0.25">
      <c r="A236" s="63"/>
      <c r="B236" s="63"/>
      <c r="C236" s="185" t="s">
        <v>197</v>
      </c>
      <c r="D236" s="185"/>
      <c r="E236" s="185"/>
      <c r="F236" s="185"/>
      <c r="G236" s="185"/>
      <c r="H236" s="185"/>
      <c r="I236" s="185"/>
      <c r="J236" s="185"/>
      <c r="K236" s="185"/>
      <c r="L236" s="185"/>
      <c r="M236" s="185"/>
      <c r="N236" s="185"/>
      <c r="O236" s="185"/>
      <c r="P236" s="185"/>
      <c r="Q236" s="185"/>
      <c r="R236" s="185"/>
      <c r="S236" s="185"/>
      <c r="T236" s="185"/>
    </row>
    <row r="237" spans="1:20" ht="11.25" customHeight="1" x14ac:dyDescent="0.25">
      <c r="I237" s="186" t="s">
        <v>95</v>
      </c>
      <c r="J237" s="186"/>
      <c r="K237" s="186"/>
      <c r="L237" s="47"/>
      <c r="M237" s="48" t="s">
        <v>96</v>
      </c>
      <c r="N237" s="14"/>
      <c r="S237" s="48" t="s">
        <v>97</v>
      </c>
      <c r="T237" s="18"/>
    </row>
    <row r="238" spans="1:20" s="41" customFormat="1" ht="11.25" customHeight="1" x14ac:dyDescent="0.25">
      <c r="A238" s="14"/>
      <c r="B238" s="14"/>
      <c r="C238" s="48" t="s">
        <v>98</v>
      </c>
      <c r="D238" s="14"/>
      <c r="E238" s="184" t="s">
        <v>99</v>
      </c>
      <c r="F238" s="184"/>
      <c r="G238" s="184"/>
      <c r="H238" s="14"/>
      <c r="I238" s="186" t="s">
        <v>100</v>
      </c>
      <c r="J238" s="186"/>
      <c r="K238" s="186"/>
      <c r="L238" s="14"/>
      <c r="M238" s="48" t="s">
        <v>4</v>
      </c>
      <c r="N238" s="14"/>
      <c r="O238" s="184" t="s">
        <v>101</v>
      </c>
      <c r="P238" s="184"/>
      <c r="Q238" s="184"/>
      <c r="R238" s="47"/>
      <c r="S238" s="48" t="s">
        <v>4</v>
      </c>
      <c r="T238" s="47"/>
    </row>
    <row r="239" spans="1:20" s="41" customFormat="1" ht="11.25" customHeight="1" x14ac:dyDescent="0.25">
      <c r="A239" s="14"/>
      <c r="B239" s="14"/>
      <c r="C239" s="48" t="s">
        <v>4</v>
      </c>
      <c r="D239" s="14"/>
      <c r="E239" s="14"/>
      <c r="F239" s="14"/>
      <c r="G239" s="14" t="s">
        <v>102</v>
      </c>
      <c r="H239" s="14"/>
      <c r="I239" s="187" t="s">
        <v>89</v>
      </c>
      <c r="J239" s="187"/>
      <c r="K239" s="187"/>
      <c r="L239" s="14"/>
      <c r="M239" s="48" t="s">
        <v>103</v>
      </c>
      <c r="N239" s="14"/>
      <c r="O239" s="48" t="s">
        <v>104</v>
      </c>
      <c r="P239" s="14"/>
      <c r="Q239" s="48" t="s">
        <v>105</v>
      </c>
      <c r="R239" s="14"/>
      <c r="S239" s="48" t="s">
        <v>106</v>
      </c>
      <c r="T239" s="18"/>
    </row>
    <row r="240" spans="1:20" s="41" customFormat="1" ht="11.25" customHeight="1" x14ac:dyDescent="0.25">
      <c r="A240" s="12" t="s">
        <v>171</v>
      </c>
      <c r="B240" s="12"/>
      <c r="C240" s="50" t="s">
        <v>107</v>
      </c>
      <c r="D240" s="12"/>
      <c r="E240" s="12" t="s">
        <v>108</v>
      </c>
      <c r="F240" s="12"/>
      <c r="G240" s="12" t="s">
        <v>109</v>
      </c>
      <c r="H240" s="12"/>
      <c r="I240" s="59" t="s">
        <v>110</v>
      </c>
      <c r="J240" s="60"/>
      <c r="K240" s="59" t="s">
        <v>111</v>
      </c>
      <c r="L240" s="12"/>
      <c r="M240" s="50" t="s">
        <v>15</v>
      </c>
      <c r="N240" s="14"/>
      <c r="O240" s="50" t="s">
        <v>112</v>
      </c>
      <c r="P240" s="12"/>
      <c r="Q240" s="50" t="s">
        <v>113</v>
      </c>
      <c r="R240" s="12"/>
      <c r="S240" s="50" t="s">
        <v>15</v>
      </c>
      <c r="T240" s="78"/>
    </row>
    <row r="241" spans="1:20" ht="11.25" customHeight="1" x14ac:dyDescent="0.2">
      <c r="A241" s="53" t="s">
        <v>58</v>
      </c>
      <c r="C241" s="67" t="s">
        <v>21</v>
      </c>
      <c r="D241" s="18"/>
      <c r="E241" s="67" t="s">
        <v>21</v>
      </c>
      <c r="F241" s="18"/>
      <c r="G241" s="67" t="s">
        <v>21</v>
      </c>
      <c r="H241" s="18"/>
      <c r="I241" s="67" t="s">
        <v>21</v>
      </c>
      <c r="J241" s="20"/>
      <c r="K241" s="67" t="s">
        <v>21</v>
      </c>
      <c r="L241" s="18"/>
      <c r="M241" s="6">
        <v>51</v>
      </c>
      <c r="N241" s="30"/>
      <c r="O241" s="67" t="s">
        <v>21</v>
      </c>
      <c r="Q241" s="67" t="s">
        <v>21</v>
      </c>
      <c r="R241" s="20"/>
      <c r="S241" s="5">
        <v>502</v>
      </c>
      <c r="T241" s="17"/>
    </row>
    <row r="242" spans="1:20" ht="11.25" customHeight="1" x14ac:dyDescent="0.2">
      <c r="A242" s="53" t="s">
        <v>59</v>
      </c>
      <c r="C242" s="5">
        <v>4</v>
      </c>
      <c r="D242" s="17"/>
      <c r="E242" s="67" t="s">
        <v>21</v>
      </c>
      <c r="F242" s="18"/>
      <c r="G242" s="67" t="s">
        <v>21</v>
      </c>
      <c r="H242" s="18"/>
      <c r="I242" s="67" t="s">
        <v>21</v>
      </c>
      <c r="J242" s="20"/>
      <c r="K242" s="67" t="s">
        <v>21</v>
      </c>
      <c r="L242" s="18"/>
      <c r="M242" s="67" t="s">
        <v>21</v>
      </c>
      <c r="N242" s="17"/>
      <c r="O242" s="67" t="s">
        <v>21</v>
      </c>
      <c r="Q242" s="67" t="s">
        <v>21</v>
      </c>
      <c r="R242" s="20"/>
      <c r="S242" s="67" t="s">
        <v>21</v>
      </c>
      <c r="T242" s="18"/>
    </row>
    <row r="243" spans="1:20" ht="11.25" customHeight="1" x14ac:dyDescent="0.2">
      <c r="A243" s="53" t="s">
        <v>60</v>
      </c>
      <c r="C243" s="67" t="s">
        <v>21</v>
      </c>
      <c r="D243" s="17"/>
      <c r="E243" s="6">
        <v>205</v>
      </c>
      <c r="F243" s="17"/>
      <c r="G243" s="5">
        <v>146</v>
      </c>
      <c r="H243" s="17"/>
      <c r="I243" s="6">
        <v>86000</v>
      </c>
      <c r="J243" s="17" t="s">
        <v>23</v>
      </c>
      <c r="K243" s="6">
        <v>21000</v>
      </c>
      <c r="L243" s="17" t="s">
        <v>23</v>
      </c>
      <c r="M243" s="6">
        <v>1320</v>
      </c>
      <c r="N243" s="17" t="s">
        <v>23</v>
      </c>
      <c r="O243" s="5">
        <v>3000</v>
      </c>
      <c r="P243" s="18" t="s">
        <v>23</v>
      </c>
      <c r="Q243" s="9">
        <v>24000</v>
      </c>
      <c r="R243" s="20" t="s">
        <v>23</v>
      </c>
      <c r="S243" s="5">
        <v>2300</v>
      </c>
      <c r="T243" s="17" t="s">
        <v>23</v>
      </c>
    </row>
    <row r="244" spans="1:20" ht="11.25" customHeight="1" x14ac:dyDescent="0.2">
      <c r="A244" s="53" t="s">
        <v>61</v>
      </c>
      <c r="C244" s="67" t="s">
        <v>21</v>
      </c>
      <c r="D244" s="17"/>
      <c r="E244" s="67" t="s">
        <v>21</v>
      </c>
      <c r="F244" s="18"/>
      <c r="G244" s="67" t="s">
        <v>21</v>
      </c>
      <c r="H244" s="18"/>
      <c r="I244" s="6">
        <v>80</v>
      </c>
      <c r="J244" s="19" t="s">
        <v>23</v>
      </c>
      <c r="K244" s="6">
        <v>11</v>
      </c>
      <c r="L244" s="17" t="s">
        <v>23</v>
      </c>
      <c r="M244" s="6" t="s">
        <v>21</v>
      </c>
      <c r="N244" s="17"/>
      <c r="O244" s="6" t="s">
        <v>21</v>
      </c>
      <c r="Q244" s="67" t="s">
        <v>21</v>
      </c>
      <c r="R244" s="20"/>
      <c r="S244" s="67" t="s">
        <v>21</v>
      </c>
      <c r="T244" s="18"/>
    </row>
    <row r="245" spans="1:20" ht="11.25" customHeight="1" x14ac:dyDescent="0.2">
      <c r="A245" s="53" t="s">
        <v>63</v>
      </c>
      <c r="C245" s="67" t="s">
        <v>21</v>
      </c>
      <c r="D245" s="18"/>
      <c r="E245" s="67" t="s">
        <v>21</v>
      </c>
      <c r="F245" s="18"/>
      <c r="G245" s="67" t="s">
        <v>21</v>
      </c>
      <c r="H245" s="18"/>
      <c r="I245" s="67" t="s">
        <v>21</v>
      </c>
      <c r="J245" s="20"/>
      <c r="K245" s="67" t="s">
        <v>21</v>
      </c>
      <c r="L245" s="18"/>
      <c r="M245" s="29" t="s">
        <v>116</v>
      </c>
      <c r="N245" s="18"/>
      <c r="O245" s="6" t="s">
        <v>21</v>
      </c>
      <c r="Q245" s="6" t="s">
        <v>21</v>
      </c>
      <c r="R245" s="20"/>
      <c r="S245" s="6" t="s">
        <v>21</v>
      </c>
      <c r="T245" s="18"/>
    </row>
    <row r="246" spans="1:20" ht="11.25" customHeight="1" x14ac:dyDescent="0.2">
      <c r="A246" s="53" t="s">
        <v>65</v>
      </c>
      <c r="C246" s="67" t="s">
        <v>21</v>
      </c>
      <c r="D246" s="18"/>
      <c r="E246" s="67" t="s">
        <v>21</v>
      </c>
      <c r="F246" s="18"/>
      <c r="G246" s="67" t="s">
        <v>21</v>
      </c>
      <c r="H246" s="18"/>
      <c r="I246" s="67" t="s">
        <v>21</v>
      </c>
      <c r="J246" s="20"/>
      <c r="K246" s="67" t="s">
        <v>21</v>
      </c>
      <c r="L246" s="18"/>
      <c r="M246" s="67" t="s">
        <v>21</v>
      </c>
      <c r="N246" s="18"/>
      <c r="O246" s="67" t="s">
        <v>21</v>
      </c>
      <c r="Q246" s="67" t="s">
        <v>21</v>
      </c>
      <c r="R246" s="20"/>
      <c r="S246" s="67" t="s">
        <v>21</v>
      </c>
      <c r="T246" s="18"/>
    </row>
    <row r="247" spans="1:20" ht="11.25" customHeight="1" x14ac:dyDescent="0.2">
      <c r="A247" s="53" t="s">
        <v>66</v>
      </c>
      <c r="C247" s="67" t="s">
        <v>21</v>
      </c>
      <c r="D247" s="18"/>
      <c r="E247" s="67" t="s">
        <v>21</v>
      </c>
      <c r="F247" s="17"/>
      <c r="G247" s="67" t="s">
        <v>21</v>
      </c>
      <c r="H247" s="18"/>
      <c r="I247" s="67" t="s">
        <v>21</v>
      </c>
      <c r="J247" s="20"/>
      <c r="K247" s="67" t="s">
        <v>21</v>
      </c>
      <c r="L247" s="18"/>
      <c r="M247" s="6">
        <v>92</v>
      </c>
      <c r="N247" s="17" t="s">
        <v>23</v>
      </c>
      <c r="O247" s="67" t="s">
        <v>21</v>
      </c>
      <c r="Q247" s="67" t="s">
        <v>21</v>
      </c>
      <c r="R247" s="20"/>
      <c r="S247" s="67" t="s">
        <v>117</v>
      </c>
      <c r="T247" s="18"/>
    </row>
    <row r="248" spans="1:20" ht="11.25" customHeight="1" x14ac:dyDescent="0.2">
      <c r="A248" s="53" t="s">
        <v>67</v>
      </c>
      <c r="C248" s="67" t="s">
        <v>21</v>
      </c>
      <c r="D248" s="18"/>
      <c r="E248" s="67" t="s">
        <v>21</v>
      </c>
      <c r="F248" s="18"/>
      <c r="G248" s="67" t="s">
        <v>21</v>
      </c>
      <c r="H248" s="17"/>
      <c r="I248" s="67" t="s">
        <v>21</v>
      </c>
      <c r="J248" s="20"/>
      <c r="K248" s="67" t="s">
        <v>21</v>
      </c>
      <c r="L248" s="18"/>
      <c r="M248" s="6">
        <v>429</v>
      </c>
      <c r="N248" s="17"/>
      <c r="O248" s="67" t="s">
        <v>21</v>
      </c>
      <c r="Q248" s="67" t="s">
        <v>21</v>
      </c>
      <c r="R248" s="20"/>
      <c r="S248" s="67" t="s">
        <v>21</v>
      </c>
      <c r="T248" s="18"/>
    </row>
    <row r="249" spans="1:20" ht="11.25" customHeight="1" x14ac:dyDescent="0.2">
      <c r="A249" s="53" t="s">
        <v>68</v>
      </c>
      <c r="C249" s="67" t="s">
        <v>21</v>
      </c>
      <c r="D249" s="18"/>
      <c r="E249" s="67" t="s">
        <v>21</v>
      </c>
      <c r="F249" s="18"/>
      <c r="G249" s="67" t="s">
        <v>21</v>
      </c>
      <c r="H249" s="18"/>
      <c r="I249" s="16" t="s">
        <v>21</v>
      </c>
      <c r="J249" s="19"/>
      <c r="K249" s="67" t="s">
        <v>21</v>
      </c>
      <c r="L249" s="18"/>
      <c r="M249" s="67" t="s">
        <v>21</v>
      </c>
      <c r="N249" s="18"/>
      <c r="O249" s="67" t="s">
        <v>21</v>
      </c>
      <c r="Q249" s="67" t="s">
        <v>21</v>
      </c>
      <c r="R249" s="20"/>
      <c r="S249" s="67" t="s">
        <v>21</v>
      </c>
      <c r="T249" s="18"/>
    </row>
    <row r="250" spans="1:20" ht="11.25" customHeight="1" x14ac:dyDescent="0.2">
      <c r="A250" s="53" t="s">
        <v>69</v>
      </c>
      <c r="C250" s="67" t="s">
        <v>21</v>
      </c>
      <c r="D250" s="17"/>
      <c r="E250" s="67" t="s">
        <v>21</v>
      </c>
      <c r="F250" s="18"/>
      <c r="G250" s="67" t="s">
        <v>21</v>
      </c>
      <c r="H250" s="18"/>
      <c r="I250" s="67" t="s">
        <v>21</v>
      </c>
      <c r="J250" s="19"/>
      <c r="K250" s="67" t="s">
        <v>21</v>
      </c>
      <c r="L250" s="18"/>
      <c r="M250" s="6">
        <v>11</v>
      </c>
      <c r="N250" s="17"/>
      <c r="O250" s="67" t="s">
        <v>21</v>
      </c>
      <c r="Q250" s="67" t="s">
        <v>21</v>
      </c>
      <c r="R250" s="20"/>
      <c r="S250" s="67" t="s">
        <v>21</v>
      </c>
      <c r="T250" s="18"/>
    </row>
    <row r="251" spans="1:20" ht="11.25" customHeight="1" x14ac:dyDescent="0.2">
      <c r="A251" s="53" t="s">
        <v>71</v>
      </c>
      <c r="C251" s="5">
        <v>14</v>
      </c>
      <c r="D251" s="17"/>
      <c r="E251" s="6">
        <v>16</v>
      </c>
      <c r="F251" s="18"/>
      <c r="G251" s="6" t="s">
        <v>21</v>
      </c>
      <c r="H251" s="18"/>
      <c r="I251" s="6" t="s">
        <v>21</v>
      </c>
      <c r="J251" s="19"/>
      <c r="K251" s="6" t="s">
        <v>21</v>
      </c>
      <c r="L251" s="18"/>
      <c r="M251" s="6">
        <v>163</v>
      </c>
      <c r="N251" s="17"/>
      <c r="O251" s="67" t="s">
        <v>21</v>
      </c>
      <c r="Q251" s="67" t="s">
        <v>21</v>
      </c>
      <c r="R251" s="20"/>
      <c r="S251" s="6" t="s">
        <v>21</v>
      </c>
      <c r="T251" s="18"/>
    </row>
    <row r="252" spans="1:20" ht="11.25" customHeight="1" x14ac:dyDescent="0.25">
      <c r="A252" s="53" t="s">
        <v>72</v>
      </c>
      <c r="C252" s="6" t="s">
        <v>21</v>
      </c>
      <c r="D252" s="18"/>
      <c r="E252" s="6" t="s">
        <v>21</v>
      </c>
      <c r="F252" s="18"/>
      <c r="G252" s="6" t="s">
        <v>21</v>
      </c>
      <c r="H252" s="17"/>
      <c r="I252" s="6" t="s">
        <v>21</v>
      </c>
      <c r="J252" s="19"/>
      <c r="K252" s="6" t="s">
        <v>21</v>
      </c>
      <c r="L252" s="18"/>
      <c r="M252" s="6" t="s">
        <v>21</v>
      </c>
      <c r="N252" s="18"/>
      <c r="O252" s="6" t="s">
        <v>21</v>
      </c>
      <c r="Q252" s="6" t="s">
        <v>21</v>
      </c>
      <c r="R252" s="20"/>
      <c r="S252" s="6" t="s">
        <v>21</v>
      </c>
      <c r="T252" s="18"/>
    </row>
    <row r="253" spans="1:20" ht="11.25" customHeight="1" x14ac:dyDescent="0.25">
      <c r="A253" s="53" t="s">
        <v>73</v>
      </c>
      <c r="C253" s="5">
        <v>600</v>
      </c>
      <c r="D253" s="17"/>
      <c r="E253" s="6" t="s">
        <v>21</v>
      </c>
      <c r="F253" s="17"/>
      <c r="G253" s="6" t="s">
        <v>21</v>
      </c>
      <c r="H253" s="17"/>
      <c r="I253" s="6" t="s">
        <v>21</v>
      </c>
      <c r="J253" s="19"/>
      <c r="K253" s="6" t="s">
        <v>21</v>
      </c>
      <c r="L253" s="18"/>
      <c r="M253" s="6" t="s">
        <v>21</v>
      </c>
      <c r="N253" s="18"/>
      <c r="O253" s="6">
        <v>280000</v>
      </c>
      <c r="P253" s="17" t="s">
        <v>23</v>
      </c>
      <c r="Q253" s="9">
        <v>6000</v>
      </c>
      <c r="R253" s="20" t="s">
        <v>23</v>
      </c>
      <c r="S253" s="6" t="s">
        <v>21</v>
      </c>
      <c r="T253" s="18"/>
    </row>
    <row r="254" spans="1:20" ht="11.25" customHeight="1" x14ac:dyDescent="0.25">
      <c r="A254" s="53" t="s">
        <v>74</v>
      </c>
      <c r="C254" s="6" t="s">
        <v>21</v>
      </c>
      <c r="D254" s="18"/>
      <c r="E254" s="6" t="s">
        <v>21</v>
      </c>
      <c r="F254" s="18"/>
      <c r="G254" s="6">
        <v>35</v>
      </c>
      <c r="H254" s="17" t="s">
        <v>23</v>
      </c>
      <c r="I254" s="16" t="s">
        <v>21</v>
      </c>
      <c r="J254" s="20"/>
      <c r="K254" s="6" t="s">
        <v>21</v>
      </c>
      <c r="L254" s="18"/>
      <c r="M254" s="45" t="s">
        <v>116</v>
      </c>
      <c r="N254" s="18"/>
      <c r="O254" s="6" t="s">
        <v>21</v>
      </c>
      <c r="Q254" s="6" t="s">
        <v>21</v>
      </c>
      <c r="R254" s="20"/>
      <c r="S254" s="6" t="s">
        <v>21</v>
      </c>
      <c r="T254" s="18"/>
    </row>
    <row r="255" spans="1:20" ht="11.25" customHeight="1" x14ac:dyDescent="0.25">
      <c r="A255" s="53" t="s">
        <v>75</v>
      </c>
      <c r="C255" s="16" t="s">
        <v>118</v>
      </c>
      <c r="D255" s="18"/>
      <c r="E255" s="16" t="s">
        <v>21</v>
      </c>
      <c r="F255" s="18"/>
      <c r="G255" s="16" t="s">
        <v>21</v>
      </c>
      <c r="H255" s="18"/>
      <c r="I255" s="16" t="s">
        <v>21</v>
      </c>
      <c r="J255" s="19"/>
      <c r="K255" s="16" t="s">
        <v>21</v>
      </c>
      <c r="L255" s="18"/>
      <c r="M255" s="6">
        <v>238</v>
      </c>
      <c r="N255" s="17"/>
      <c r="O255" s="16" t="s">
        <v>21</v>
      </c>
      <c r="Q255" s="16" t="s">
        <v>21</v>
      </c>
      <c r="R255" s="20"/>
      <c r="S255" s="16" t="s">
        <v>21</v>
      </c>
      <c r="T255" s="18"/>
    </row>
    <row r="256" spans="1:20" ht="11.25" customHeight="1" x14ac:dyDescent="0.25">
      <c r="A256" s="71" t="s">
        <v>76</v>
      </c>
      <c r="C256" s="8">
        <v>1360</v>
      </c>
      <c r="D256" s="63"/>
      <c r="E256" s="8">
        <f>E251+E243+E218+E212+E208+E195</f>
        <v>277</v>
      </c>
      <c r="F256" s="63"/>
      <c r="G256" s="8">
        <v>328</v>
      </c>
      <c r="H256" s="63"/>
      <c r="I256" s="8">
        <v>87100</v>
      </c>
      <c r="J256" s="31" t="s">
        <v>23</v>
      </c>
      <c r="K256" s="8">
        <v>24700</v>
      </c>
      <c r="L256" s="31" t="s">
        <v>23</v>
      </c>
      <c r="M256" s="8">
        <v>4170</v>
      </c>
      <c r="N256" s="63"/>
      <c r="O256" s="8">
        <v>1080000</v>
      </c>
      <c r="P256" s="31" t="s">
        <v>23</v>
      </c>
      <c r="Q256" s="8">
        <v>45000</v>
      </c>
      <c r="R256" s="31" t="s">
        <v>23</v>
      </c>
      <c r="S256" s="8">
        <v>4400</v>
      </c>
      <c r="T256" s="31" t="s">
        <v>23</v>
      </c>
    </row>
    <row r="257" spans="1:20" ht="11.25" customHeight="1" x14ac:dyDescent="0.25">
      <c r="A257" s="71" t="s">
        <v>77</v>
      </c>
      <c r="C257" s="72">
        <v>4.2000000000000003E-2</v>
      </c>
      <c r="E257" s="72">
        <v>0.106</v>
      </c>
      <c r="G257" s="72">
        <v>0.35799999999999998</v>
      </c>
      <c r="I257" s="72">
        <v>0.40699999999999997</v>
      </c>
      <c r="K257" s="72">
        <f>K256/K260</f>
        <v>0.127</v>
      </c>
      <c r="M257" s="72">
        <v>0.16500000000000001</v>
      </c>
      <c r="O257" s="72">
        <v>7.6999999999999999E-2</v>
      </c>
      <c r="P257" s="13"/>
      <c r="Q257" s="72">
        <v>0.192</v>
      </c>
      <c r="S257" s="72">
        <v>5.1999999999999998E-2</v>
      </c>
    </row>
    <row r="258" spans="1:20" ht="11.25" customHeight="1" x14ac:dyDescent="0.25">
      <c r="A258" s="53" t="s">
        <v>78</v>
      </c>
      <c r="C258" s="10" t="s">
        <v>21</v>
      </c>
      <c r="E258" s="9">
        <v>18</v>
      </c>
      <c r="G258" s="10" t="s">
        <v>21</v>
      </c>
      <c r="I258" s="9">
        <v>13700</v>
      </c>
      <c r="K258" s="9">
        <v>4020</v>
      </c>
      <c r="M258" s="9">
        <v>1020</v>
      </c>
      <c r="N258" s="20"/>
      <c r="O258" s="9">
        <v>100000</v>
      </c>
      <c r="P258" s="20" t="s">
        <v>23</v>
      </c>
      <c r="Q258" s="10" t="s">
        <v>94</v>
      </c>
      <c r="S258" s="10" t="s">
        <v>21</v>
      </c>
    </row>
    <row r="259" spans="1:20" ht="11.25" customHeight="1" x14ac:dyDescent="0.25">
      <c r="A259" s="71" t="s">
        <v>77</v>
      </c>
      <c r="C259" s="11" t="s">
        <v>21</v>
      </c>
      <c r="D259" s="74"/>
      <c r="E259" s="26">
        <f>E258/E260</f>
        <v>7.0000000000000001E-3</v>
      </c>
      <c r="F259" s="74"/>
      <c r="G259" s="11" t="s">
        <v>21</v>
      </c>
      <c r="H259" s="74"/>
      <c r="I259" s="73">
        <v>6.4000000000000001E-2</v>
      </c>
      <c r="J259" s="74"/>
      <c r="K259" s="73">
        <f>K258/K260</f>
        <v>2.1000000000000001E-2</v>
      </c>
      <c r="L259" s="74"/>
      <c r="M259" s="73">
        <f>M258/M260</f>
        <v>3.7999999999999999E-2</v>
      </c>
      <c r="N259" s="74"/>
      <c r="O259" s="73">
        <v>7.0000000000000001E-3</v>
      </c>
      <c r="P259" s="74"/>
      <c r="Q259" s="11" t="s">
        <v>94</v>
      </c>
      <c r="R259" s="74"/>
      <c r="S259" s="11" t="s">
        <v>21</v>
      </c>
      <c r="T259" s="74"/>
    </row>
    <row r="260" spans="1:20" ht="11.25" customHeight="1" x14ac:dyDescent="0.25">
      <c r="A260" s="71" t="s">
        <v>80</v>
      </c>
      <c r="B260" s="76"/>
      <c r="C260" s="77">
        <v>32200</v>
      </c>
      <c r="D260" s="76"/>
      <c r="E260" s="77">
        <v>2660</v>
      </c>
      <c r="F260" s="76"/>
      <c r="G260" s="77">
        <v>910</v>
      </c>
      <c r="I260" s="77">
        <v>214000</v>
      </c>
      <c r="J260" s="76"/>
      <c r="K260" s="77">
        <v>195000</v>
      </c>
      <c r="L260" s="76"/>
      <c r="M260" s="77">
        <v>26900</v>
      </c>
      <c r="N260" s="76"/>
      <c r="O260" s="77">
        <v>14000000</v>
      </c>
      <c r="P260" s="76"/>
      <c r="Q260" s="77">
        <v>234000</v>
      </c>
      <c r="R260" s="76"/>
      <c r="S260" s="77">
        <v>83100</v>
      </c>
      <c r="T260" s="76"/>
    </row>
    <row r="261" spans="1:20" ht="11.25" customHeight="1" x14ac:dyDescent="0.25">
      <c r="A261" s="188" t="s">
        <v>57</v>
      </c>
      <c r="B261" s="188"/>
      <c r="C261" s="188"/>
      <c r="D261" s="188"/>
      <c r="E261" s="188"/>
      <c r="F261" s="188"/>
      <c r="G261" s="188"/>
      <c r="H261" s="188"/>
      <c r="I261" s="188"/>
      <c r="J261" s="188"/>
      <c r="K261" s="188"/>
      <c r="L261" s="188"/>
      <c r="M261" s="188"/>
      <c r="N261" s="188"/>
      <c r="O261" s="188"/>
      <c r="P261" s="188"/>
      <c r="Q261" s="188"/>
      <c r="R261" s="188"/>
      <c r="S261" s="188"/>
      <c r="T261" s="188"/>
    </row>
    <row r="263" spans="1:20" ht="11.25" customHeight="1" x14ac:dyDescent="0.25">
      <c r="I263" s="85"/>
    </row>
    <row r="267" spans="1:20" ht="11.25" customHeight="1" x14ac:dyDescent="0.25">
      <c r="I267" s="86"/>
    </row>
    <row r="268" spans="1:20" ht="11.25" customHeight="1" x14ac:dyDescent="0.25">
      <c r="I268" s="86"/>
    </row>
    <row r="277" spans="1:20" ht="11.25" customHeight="1" x14ac:dyDescent="0.25">
      <c r="A277" s="183" t="s">
        <v>196</v>
      </c>
      <c r="B277" s="183"/>
      <c r="C277" s="183"/>
      <c r="D277" s="183"/>
      <c r="E277" s="183"/>
      <c r="F277" s="183"/>
      <c r="G277" s="183"/>
      <c r="H277" s="183"/>
      <c r="I277" s="183"/>
      <c r="J277" s="183"/>
      <c r="K277" s="183"/>
      <c r="L277" s="183"/>
      <c r="M277" s="183"/>
      <c r="N277" s="183"/>
      <c r="O277" s="183"/>
      <c r="P277" s="183"/>
      <c r="Q277" s="183"/>
      <c r="R277" s="183"/>
      <c r="S277" s="183"/>
      <c r="T277" s="183"/>
    </row>
    <row r="278" spans="1:20" ht="11.25" customHeight="1" x14ac:dyDescent="0.25">
      <c r="A278" s="183" t="s">
        <v>202</v>
      </c>
      <c r="B278" s="183"/>
      <c r="C278" s="183"/>
      <c r="D278" s="183"/>
      <c r="E278" s="183"/>
      <c r="F278" s="183"/>
      <c r="G278" s="183"/>
      <c r="H278" s="183"/>
      <c r="I278" s="183"/>
      <c r="J278" s="183"/>
      <c r="K278" s="183"/>
      <c r="L278" s="183"/>
      <c r="M278" s="183"/>
      <c r="N278" s="183"/>
      <c r="O278" s="183"/>
      <c r="P278" s="183"/>
      <c r="Q278" s="183"/>
      <c r="R278" s="183"/>
      <c r="S278" s="183"/>
      <c r="T278" s="183"/>
    </row>
    <row r="279" spans="1:20" ht="11.25" customHeight="1" x14ac:dyDescent="0.25">
      <c r="A279" s="183"/>
      <c r="B279" s="183"/>
      <c r="C279" s="183"/>
      <c r="D279" s="183"/>
      <c r="E279" s="183"/>
      <c r="F279" s="183"/>
      <c r="G279" s="183"/>
      <c r="H279" s="183"/>
      <c r="I279" s="183"/>
      <c r="J279" s="183"/>
      <c r="K279" s="183"/>
      <c r="L279" s="183"/>
      <c r="M279" s="183"/>
      <c r="N279" s="183"/>
      <c r="O279" s="183"/>
      <c r="P279" s="183"/>
      <c r="Q279" s="183"/>
      <c r="R279" s="183"/>
      <c r="S279" s="183"/>
      <c r="T279" s="183"/>
    </row>
    <row r="280" spans="1:20" ht="11.25" customHeight="1" x14ac:dyDescent="0.25">
      <c r="A280" s="183" t="s">
        <v>195</v>
      </c>
      <c r="B280" s="183"/>
      <c r="C280" s="183"/>
      <c r="D280" s="183"/>
      <c r="E280" s="183"/>
      <c r="F280" s="183"/>
      <c r="G280" s="183"/>
      <c r="H280" s="183"/>
      <c r="I280" s="183"/>
      <c r="J280" s="183"/>
      <c r="K280" s="183"/>
      <c r="L280" s="183"/>
      <c r="M280" s="183"/>
      <c r="N280" s="183"/>
      <c r="O280" s="183"/>
      <c r="P280" s="183"/>
      <c r="Q280" s="183"/>
      <c r="R280" s="183"/>
      <c r="S280" s="183"/>
      <c r="T280" s="183"/>
    </row>
    <row r="281" spans="1:20" ht="11.25" customHeight="1" x14ac:dyDescent="0.25">
      <c r="A281" s="184"/>
      <c r="B281" s="184"/>
      <c r="C281" s="184"/>
      <c r="D281" s="184"/>
      <c r="E281" s="184"/>
      <c r="F281" s="184"/>
      <c r="G281" s="184"/>
      <c r="H281" s="184"/>
      <c r="I281" s="184"/>
      <c r="J281" s="184"/>
      <c r="K281" s="184"/>
      <c r="L281" s="184"/>
      <c r="M281" s="184"/>
      <c r="N281" s="184"/>
      <c r="O281" s="184"/>
      <c r="P281" s="184"/>
      <c r="Q281" s="184"/>
      <c r="R281" s="184"/>
      <c r="S281" s="184"/>
      <c r="T281" s="184"/>
    </row>
    <row r="282" spans="1:20" ht="11.25" customHeight="1" x14ac:dyDescent="0.25">
      <c r="A282" s="63"/>
      <c r="B282" s="63"/>
      <c r="C282" s="185" t="s">
        <v>197</v>
      </c>
      <c r="D282" s="185"/>
      <c r="E282" s="185"/>
      <c r="F282" s="63"/>
      <c r="G282" s="185" t="s">
        <v>119</v>
      </c>
      <c r="H282" s="185"/>
      <c r="I282" s="185"/>
      <c r="J282" s="185"/>
      <c r="K282" s="185"/>
      <c r="L282" s="185"/>
      <c r="M282" s="185"/>
      <c r="N282" s="185"/>
      <c r="O282" s="185"/>
      <c r="P282" s="185"/>
      <c r="Q282" s="185"/>
      <c r="R282" s="185"/>
      <c r="S282" s="185"/>
      <c r="T282" s="185"/>
    </row>
    <row r="283" spans="1:20" ht="11.25" customHeight="1" x14ac:dyDescent="0.25">
      <c r="C283" s="186" t="s">
        <v>120</v>
      </c>
      <c r="D283" s="186"/>
      <c r="E283" s="186"/>
      <c r="G283" s="48"/>
      <c r="H283" s="18"/>
      <c r="K283" s="48" t="s">
        <v>121</v>
      </c>
      <c r="L283" s="14"/>
    </row>
    <row r="284" spans="1:20" s="41" customFormat="1" ht="11.25" customHeight="1" x14ac:dyDescent="0.25">
      <c r="A284" s="14"/>
      <c r="B284" s="14"/>
      <c r="C284" s="48"/>
      <c r="D284" s="49"/>
      <c r="E284" s="14" t="s">
        <v>122</v>
      </c>
      <c r="F284" s="14"/>
      <c r="G284" s="48"/>
      <c r="H284" s="47"/>
      <c r="I284" s="14"/>
      <c r="J284" s="14"/>
      <c r="K284" s="48" t="s">
        <v>123</v>
      </c>
      <c r="L284" s="14"/>
      <c r="M284" s="14" t="s">
        <v>124</v>
      </c>
      <c r="N284" s="14"/>
      <c r="O284" s="14"/>
      <c r="P284" s="14"/>
      <c r="Q284" s="14"/>
      <c r="R284" s="14"/>
      <c r="S284" s="14"/>
      <c r="T284" s="14"/>
    </row>
    <row r="285" spans="1:20" s="41" customFormat="1" ht="11.25" customHeight="1" x14ac:dyDescent="0.25">
      <c r="A285" s="14"/>
      <c r="B285" s="14"/>
      <c r="C285" s="48" t="s">
        <v>10</v>
      </c>
      <c r="D285" s="49"/>
      <c r="E285" s="14" t="s">
        <v>125</v>
      </c>
      <c r="F285" s="14"/>
      <c r="G285" s="48"/>
      <c r="H285" s="18"/>
      <c r="I285" s="14" t="s">
        <v>126</v>
      </c>
      <c r="J285" s="14"/>
      <c r="K285" s="48" t="s">
        <v>127</v>
      </c>
      <c r="L285" s="14"/>
      <c r="M285" s="48" t="s">
        <v>128</v>
      </c>
      <c r="N285" s="14"/>
      <c r="O285" s="48" t="s">
        <v>129</v>
      </c>
      <c r="P285" s="14"/>
      <c r="Q285" s="48" t="s">
        <v>130</v>
      </c>
      <c r="R285" s="14"/>
      <c r="S285" s="14"/>
      <c r="T285" s="14"/>
    </row>
    <row r="286" spans="1:20" s="41" customFormat="1" ht="11.25" customHeight="1" x14ac:dyDescent="0.25">
      <c r="A286" s="12" t="s">
        <v>171</v>
      </c>
      <c r="B286" s="12"/>
      <c r="C286" s="50" t="s">
        <v>131</v>
      </c>
      <c r="D286" s="52"/>
      <c r="E286" s="12" t="s">
        <v>132</v>
      </c>
      <c r="F286" s="12"/>
      <c r="G286" s="12" t="s">
        <v>133</v>
      </c>
      <c r="H286" s="12"/>
      <c r="I286" s="12" t="s">
        <v>134</v>
      </c>
      <c r="J286" s="12"/>
      <c r="K286" s="50" t="s">
        <v>135</v>
      </c>
      <c r="L286" s="12"/>
      <c r="M286" s="50" t="s">
        <v>136</v>
      </c>
      <c r="N286" s="12"/>
      <c r="O286" s="50" t="s">
        <v>137</v>
      </c>
      <c r="P286" s="12"/>
      <c r="Q286" s="50" t="s">
        <v>138</v>
      </c>
      <c r="R286" s="12"/>
      <c r="S286" s="50" t="s">
        <v>139</v>
      </c>
      <c r="T286" s="55"/>
    </row>
    <row r="287" spans="1:20" ht="11.25" customHeight="1" x14ac:dyDescent="0.25">
      <c r="A287" s="64" t="s">
        <v>20</v>
      </c>
      <c r="C287" s="16" t="s">
        <v>21</v>
      </c>
      <c r="D287" s="18"/>
      <c r="E287" s="16" t="s">
        <v>21</v>
      </c>
      <c r="F287" s="20"/>
      <c r="G287" s="16" t="s">
        <v>21</v>
      </c>
      <c r="H287" s="20"/>
      <c r="I287" s="5">
        <v>2503</v>
      </c>
      <c r="J287" s="17"/>
      <c r="K287" s="16" t="s">
        <v>21</v>
      </c>
      <c r="L287" s="18"/>
      <c r="M287" s="16" t="s">
        <v>21</v>
      </c>
      <c r="N287" s="18"/>
      <c r="O287" s="16" t="s">
        <v>21</v>
      </c>
      <c r="Q287" s="16" t="s">
        <v>21</v>
      </c>
      <c r="R287" s="18"/>
      <c r="S287" s="16" t="s">
        <v>21</v>
      </c>
      <c r="T287" s="20"/>
    </row>
    <row r="288" spans="1:20" ht="11.25" customHeight="1" x14ac:dyDescent="0.25">
      <c r="A288" s="53" t="s">
        <v>22</v>
      </c>
      <c r="C288" s="42">
        <v>5836</v>
      </c>
      <c r="D288" s="17"/>
      <c r="E288" s="16" t="s">
        <v>21</v>
      </c>
      <c r="F288" s="20"/>
      <c r="G288" s="16" t="s">
        <v>21</v>
      </c>
      <c r="H288" s="20"/>
      <c r="I288" s="5">
        <v>853</v>
      </c>
      <c r="J288" s="18"/>
      <c r="K288" s="6">
        <v>144</v>
      </c>
      <c r="L288" s="18"/>
      <c r="M288" s="16" t="s">
        <v>21</v>
      </c>
      <c r="N288" s="18"/>
      <c r="O288" s="16" t="s">
        <v>21</v>
      </c>
      <c r="Q288" s="16" t="s">
        <v>21</v>
      </c>
      <c r="R288" s="18"/>
      <c r="S288" s="5">
        <v>33</v>
      </c>
      <c r="T288" s="20"/>
    </row>
    <row r="289" spans="1:20" ht="11.25" customHeight="1" x14ac:dyDescent="0.25">
      <c r="A289" s="53" t="s">
        <v>24</v>
      </c>
      <c r="C289" s="16" t="s">
        <v>21</v>
      </c>
      <c r="D289" s="18"/>
      <c r="E289" s="9">
        <v>35700</v>
      </c>
      <c r="F289" s="20" t="s">
        <v>23</v>
      </c>
      <c r="G289" s="16" t="s">
        <v>21</v>
      </c>
      <c r="H289" s="20"/>
      <c r="I289" s="9">
        <v>5400</v>
      </c>
      <c r="J289" s="17" t="s">
        <v>23</v>
      </c>
      <c r="K289" s="16" t="s">
        <v>21</v>
      </c>
      <c r="L289" s="18"/>
      <c r="M289" s="9">
        <v>435</v>
      </c>
      <c r="N289" s="17"/>
      <c r="O289" s="16" t="s">
        <v>21</v>
      </c>
      <c r="Q289" s="16" t="s">
        <v>21</v>
      </c>
      <c r="R289" s="18"/>
      <c r="S289" s="6">
        <v>2113</v>
      </c>
      <c r="T289" s="20"/>
    </row>
    <row r="290" spans="1:20" ht="11.25" customHeight="1" x14ac:dyDescent="0.25">
      <c r="A290" s="53" t="s">
        <v>25</v>
      </c>
      <c r="C290" s="16" t="s">
        <v>21</v>
      </c>
      <c r="D290" s="18"/>
      <c r="E290" s="16" t="s">
        <v>21</v>
      </c>
      <c r="F290" s="20"/>
      <c r="G290" s="16" t="s">
        <v>21</v>
      </c>
      <c r="H290" s="20"/>
      <c r="I290" s="5">
        <v>3440</v>
      </c>
      <c r="J290" s="18"/>
      <c r="K290" s="16" t="s">
        <v>21</v>
      </c>
      <c r="L290" s="18"/>
      <c r="M290" s="16" t="s">
        <v>21</v>
      </c>
      <c r="N290" s="18"/>
      <c r="O290" s="16" t="s">
        <v>21</v>
      </c>
      <c r="Q290" s="16" t="s">
        <v>21</v>
      </c>
      <c r="R290" s="18"/>
      <c r="S290" s="5">
        <v>4</v>
      </c>
      <c r="T290" s="20"/>
    </row>
    <row r="291" spans="1:20" ht="11.25" customHeight="1" x14ac:dyDescent="0.25">
      <c r="A291" s="53" t="s">
        <v>26</v>
      </c>
      <c r="C291" s="16" t="s">
        <v>21</v>
      </c>
      <c r="D291" s="18"/>
      <c r="E291" s="16" t="s">
        <v>21</v>
      </c>
      <c r="F291" s="20"/>
      <c r="G291" s="16" t="s">
        <v>21</v>
      </c>
      <c r="H291" s="20"/>
      <c r="I291" s="5">
        <v>4985</v>
      </c>
      <c r="J291" s="18"/>
      <c r="K291" s="16" t="s">
        <v>21</v>
      </c>
      <c r="L291" s="18"/>
      <c r="M291" s="5">
        <v>799</v>
      </c>
      <c r="N291" s="17"/>
      <c r="O291" s="16" t="s">
        <v>21</v>
      </c>
      <c r="Q291" s="5">
        <v>7630</v>
      </c>
      <c r="R291" s="18" t="s">
        <v>23</v>
      </c>
      <c r="S291" s="5">
        <v>1600</v>
      </c>
      <c r="T291" s="20" t="s">
        <v>23</v>
      </c>
    </row>
    <row r="292" spans="1:20" ht="11.25" customHeight="1" x14ac:dyDescent="0.25">
      <c r="A292" s="53" t="s">
        <v>27</v>
      </c>
      <c r="C292" s="16" t="s">
        <v>21</v>
      </c>
      <c r="D292" s="18"/>
      <c r="E292" s="5">
        <v>270000</v>
      </c>
      <c r="F292" s="20" t="s">
        <v>23</v>
      </c>
      <c r="G292" s="16" t="s">
        <v>21</v>
      </c>
      <c r="H292" s="22"/>
      <c r="I292" s="5">
        <v>7400</v>
      </c>
      <c r="J292" s="17" t="s">
        <v>23</v>
      </c>
      <c r="K292" s="16" t="s">
        <v>21</v>
      </c>
      <c r="L292" s="18"/>
      <c r="M292" s="16" t="s">
        <v>21</v>
      </c>
      <c r="N292" s="17"/>
      <c r="O292" s="16" t="s">
        <v>21</v>
      </c>
      <c r="Q292" s="16" t="s">
        <v>21</v>
      </c>
      <c r="R292" s="18"/>
      <c r="S292" s="16" t="s">
        <v>21</v>
      </c>
      <c r="T292" s="20"/>
    </row>
    <row r="293" spans="1:20" ht="11.25" customHeight="1" x14ac:dyDescent="0.25">
      <c r="A293" s="53" t="s">
        <v>28</v>
      </c>
      <c r="C293" s="5">
        <v>13000</v>
      </c>
      <c r="D293" s="17"/>
      <c r="E293" s="16" t="s">
        <v>21</v>
      </c>
      <c r="F293" s="20"/>
      <c r="G293" s="16" t="s">
        <v>21</v>
      </c>
      <c r="H293" s="20"/>
      <c r="I293" s="5">
        <v>1097</v>
      </c>
      <c r="J293" s="18"/>
      <c r="K293" s="16" t="s">
        <v>21</v>
      </c>
      <c r="L293" s="18"/>
      <c r="M293" s="16" t="s">
        <v>21</v>
      </c>
      <c r="N293" s="17"/>
      <c r="O293" s="16" t="s">
        <v>21</v>
      </c>
      <c r="Q293" s="16" t="s">
        <v>21</v>
      </c>
      <c r="R293" s="18"/>
      <c r="S293" s="5">
        <v>1106</v>
      </c>
      <c r="T293" s="20"/>
    </row>
    <row r="294" spans="1:20" ht="11.25" customHeight="1" x14ac:dyDescent="0.25">
      <c r="A294" s="53" t="s">
        <v>29</v>
      </c>
      <c r="C294" s="5">
        <v>15000</v>
      </c>
      <c r="D294" s="19"/>
      <c r="E294" s="5">
        <v>72418</v>
      </c>
      <c r="F294" s="19"/>
      <c r="G294" s="1">
        <v>72</v>
      </c>
      <c r="H294" s="20" t="s">
        <v>23</v>
      </c>
      <c r="I294" s="5">
        <v>1989</v>
      </c>
      <c r="J294" s="17"/>
      <c r="K294" s="16" t="s">
        <v>21</v>
      </c>
      <c r="L294" s="18"/>
      <c r="M294" s="6">
        <v>230</v>
      </c>
      <c r="N294" s="17" t="s">
        <v>23</v>
      </c>
      <c r="O294" s="16" t="s">
        <v>21</v>
      </c>
      <c r="Q294" s="16" t="s">
        <v>21</v>
      </c>
      <c r="R294" s="18"/>
      <c r="S294" s="16" t="s">
        <v>21</v>
      </c>
      <c r="T294" s="20"/>
    </row>
    <row r="295" spans="1:20" ht="11.25" customHeight="1" x14ac:dyDescent="0.25">
      <c r="A295" s="53" t="s">
        <v>30</v>
      </c>
      <c r="C295" s="16" t="s">
        <v>21</v>
      </c>
      <c r="D295" s="18"/>
      <c r="E295" s="16" t="s">
        <v>21</v>
      </c>
      <c r="F295" s="18"/>
      <c r="G295" s="16" t="s">
        <v>21</v>
      </c>
      <c r="H295" s="20"/>
      <c r="I295" s="5">
        <v>2884</v>
      </c>
      <c r="J295" s="18"/>
      <c r="K295" s="16" t="s">
        <v>21</v>
      </c>
      <c r="L295" s="18"/>
      <c r="M295" s="5">
        <v>370</v>
      </c>
      <c r="N295" s="17"/>
      <c r="O295" s="16" t="s">
        <v>21</v>
      </c>
      <c r="Q295" s="16" t="s">
        <v>21</v>
      </c>
      <c r="R295" s="18"/>
      <c r="S295" s="5">
        <v>50</v>
      </c>
      <c r="T295" s="20" t="s">
        <v>23</v>
      </c>
    </row>
    <row r="296" spans="1:20" ht="11.25" customHeight="1" x14ac:dyDescent="0.25">
      <c r="A296" s="53" t="s">
        <v>31</v>
      </c>
      <c r="C296" s="16" t="s">
        <v>21</v>
      </c>
      <c r="D296" s="18"/>
      <c r="E296" s="16" t="s">
        <v>21</v>
      </c>
      <c r="F296" s="18"/>
      <c r="G296" s="16" t="s">
        <v>21</v>
      </c>
      <c r="H296" s="20"/>
      <c r="I296" s="5">
        <v>1440</v>
      </c>
      <c r="J296" s="17"/>
      <c r="K296" s="16" t="s">
        <v>21</v>
      </c>
      <c r="L296" s="18"/>
      <c r="M296" s="16" t="s">
        <v>21</v>
      </c>
      <c r="N296" s="18"/>
      <c r="O296" s="16" t="s">
        <v>21</v>
      </c>
      <c r="Q296" s="16" t="s">
        <v>21</v>
      </c>
      <c r="R296" s="18"/>
      <c r="S296" s="16" t="s">
        <v>21</v>
      </c>
      <c r="T296" s="20"/>
    </row>
    <row r="297" spans="1:20" ht="11.25" customHeight="1" x14ac:dyDescent="0.25">
      <c r="A297" s="53" t="s">
        <v>32</v>
      </c>
      <c r="C297" s="16" t="s">
        <v>21</v>
      </c>
      <c r="D297" s="18"/>
      <c r="E297" s="16" t="s">
        <v>21</v>
      </c>
      <c r="F297" s="18"/>
      <c r="G297" s="16" t="s">
        <v>21</v>
      </c>
      <c r="H297" s="20"/>
      <c r="I297" s="5">
        <v>4720</v>
      </c>
      <c r="J297" s="17"/>
      <c r="K297" s="16" t="s">
        <v>21</v>
      </c>
      <c r="L297" s="17"/>
      <c r="M297" s="5">
        <v>180</v>
      </c>
      <c r="N297" s="17"/>
      <c r="O297" s="16" t="s">
        <v>21</v>
      </c>
      <c r="P297" s="17"/>
      <c r="Q297" s="16" t="s">
        <v>21</v>
      </c>
      <c r="R297" s="18"/>
      <c r="S297" s="16" t="s">
        <v>21</v>
      </c>
      <c r="T297" s="20"/>
    </row>
    <row r="298" spans="1:20" ht="11.25" customHeight="1" x14ac:dyDescent="0.25">
      <c r="A298" s="53" t="s">
        <v>33</v>
      </c>
      <c r="C298" s="16" t="s">
        <v>21</v>
      </c>
      <c r="D298" s="18"/>
      <c r="E298" s="16" t="s">
        <v>21</v>
      </c>
      <c r="F298" s="18"/>
      <c r="G298" s="16" t="s">
        <v>21</v>
      </c>
      <c r="H298" s="22"/>
      <c r="I298" s="5">
        <v>2670</v>
      </c>
      <c r="J298" s="17"/>
      <c r="K298" s="16" t="s">
        <v>21</v>
      </c>
      <c r="L298" s="18"/>
      <c r="M298" s="16" t="s">
        <v>21</v>
      </c>
      <c r="N298" s="17"/>
      <c r="O298" s="16" t="s">
        <v>21</v>
      </c>
      <c r="Q298" s="16" t="s">
        <v>21</v>
      </c>
      <c r="R298" s="18"/>
      <c r="S298" s="16" t="s">
        <v>21</v>
      </c>
      <c r="T298" s="20"/>
    </row>
    <row r="299" spans="1:20" ht="11.25" customHeight="1" x14ac:dyDescent="0.25">
      <c r="A299" s="53" t="s">
        <v>34</v>
      </c>
      <c r="C299" s="16" t="s">
        <v>21</v>
      </c>
      <c r="D299" s="18"/>
      <c r="E299" s="16" t="s">
        <v>21</v>
      </c>
      <c r="F299" s="18"/>
      <c r="G299" s="16" t="s">
        <v>21</v>
      </c>
      <c r="H299" s="22"/>
      <c r="I299" s="5">
        <v>366</v>
      </c>
      <c r="J299" s="17"/>
      <c r="K299" s="16" t="s">
        <v>21</v>
      </c>
      <c r="L299" s="18"/>
      <c r="M299" s="6">
        <v>17</v>
      </c>
      <c r="N299" s="17"/>
      <c r="O299" s="16" t="s">
        <v>21</v>
      </c>
      <c r="Q299" s="16" t="s">
        <v>21</v>
      </c>
      <c r="R299" s="18"/>
      <c r="S299" s="16" t="s">
        <v>21</v>
      </c>
      <c r="T299" s="20"/>
    </row>
    <row r="300" spans="1:20" ht="11.25" customHeight="1" x14ac:dyDescent="0.25">
      <c r="A300" s="53" t="s">
        <v>35</v>
      </c>
      <c r="C300" s="5">
        <v>54353</v>
      </c>
      <c r="D300" s="17"/>
      <c r="E300" s="1">
        <v>292648</v>
      </c>
      <c r="F300" s="17"/>
      <c r="G300" s="16" t="s">
        <v>21</v>
      </c>
      <c r="H300" s="20"/>
      <c r="I300" s="6">
        <v>1500</v>
      </c>
      <c r="J300" s="17" t="s">
        <v>23</v>
      </c>
      <c r="K300" s="16" t="s">
        <v>21</v>
      </c>
      <c r="L300" s="18"/>
      <c r="M300" s="16" t="s">
        <v>21</v>
      </c>
      <c r="N300" s="17"/>
      <c r="O300" s="5">
        <v>400</v>
      </c>
      <c r="P300" s="17" t="s">
        <v>23</v>
      </c>
      <c r="Q300" s="16" t="s">
        <v>21</v>
      </c>
      <c r="R300" s="18"/>
      <c r="S300" s="16" t="s">
        <v>21</v>
      </c>
      <c r="T300" s="20"/>
    </row>
    <row r="301" spans="1:20" ht="11.25" customHeight="1" x14ac:dyDescent="0.25">
      <c r="A301" s="53" t="s">
        <v>36</v>
      </c>
      <c r="C301" s="16" t="s">
        <v>21</v>
      </c>
      <c r="D301" s="18"/>
      <c r="E301" s="5">
        <v>168000</v>
      </c>
      <c r="F301" s="19"/>
      <c r="G301" s="16" t="s">
        <v>21</v>
      </c>
      <c r="H301" s="20"/>
      <c r="I301" s="5">
        <v>16900</v>
      </c>
      <c r="J301" s="17" t="s">
        <v>23</v>
      </c>
      <c r="K301" s="16" t="s">
        <v>21</v>
      </c>
      <c r="L301" s="18"/>
      <c r="M301" s="5">
        <v>880</v>
      </c>
      <c r="N301" s="17" t="s">
        <v>23</v>
      </c>
      <c r="O301" s="16" t="s">
        <v>21</v>
      </c>
      <c r="Q301" s="16" t="s">
        <v>21</v>
      </c>
      <c r="R301" s="18"/>
      <c r="S301" s="6">
        <v>5440</v>
      </c>
      <c r="T301" s="20" t="s">
        <v>23</v>
      </c>
    </row>
    <row r="302" spans="1:20" ht="11.25" customHeight="1" x14ac:dyDescent="0.2">
      <c r="A302" s="53" t="s">
        <v>37</v>
      </c>
      <c r="C302" s="16" t="s">
        <v>21</v>
      </c>
      <c r="D302" s="18"/>
      <c r="E302" s="16" t="s">
        <v>21</v>
      </c>
      <c r="F302" s="20"/>
      <c r="G302" s="16" t="s">
        <v>21</v>
      </c>
      <c r="H302" s="20"/>
      <c r="I302" s="87">
        <v>2683</v>
      </c>
      <c r="J302" s="17"/>
      <c r="K302" s="16" t="s">
        <v>21</v>
      </c>
      <c r="L302" s="18"/>
      <c r="M302" s="87">
        <v>200</v>
      </c>
      <c r="N302" s="18" t="s">
        <v>23</v>
      </c>
      <c r="O302" s="16" t="s">
        <v>21</v>
      </c>
      <c r="Q302" s="16" t="s">
        <v>21</v>
      </c>
      <c r="R302" s="18"/>
      <c r="S302" s="16" t="s">
        <v>21</v>
      </c>
      <c r="T302" s="20"/>
    </row>
    <row r="303" spans="1:20" ht="11.25" customHeight="1" x14ac:dyDescent="0.25">
      <c r="A303" s="53" t="s">
        <v>38</v>
      </c>
      <c r="C303" s="16" t="s">
        <v>21</v>
      </c>
      <c r="D303" s="18"/>
      <c r="E303" s="5">
        <v>160000</v>
      </c>
      <c r="F303" s="19" t="s">
        <v>23</v>
      </c>
      <c r="G303" s="9">
        <v>27</v>
      </c>
      <c r="H303" s="20" t="s">
        <v>23</v>
      </c>
      <c r="I303" s="5">
        <v>34966</v>
      </c>
      <c r="J303" s="17"/>
      <c r="K303" s="16" t="s">
        <v>21</v>
      </c>
      <c r="L303" s="18"/>
      <c r="M303" s="5">
        <v>2288</v>
      </c>
      <c r="N303" s="18"/>
      <c r="O303" s="5">
        <v>18</v>
      </c>
      <c r="Q303" s="5">
        <v>3400</v>
      </c>
      <c r="R303" s="17" t="s">
        <v>23</v>
      </c>
      <c r="S303" s="5">
        <v>15000</v>
      </c>
      <c r="T303" s="20" t="s">
        <v>23</v>
      </c>
    </row>
    <row r="304" spans="1:20" ht="11.25" customHeight="1" x14ac:dyDescent="0.25">
      <c r="A304" s="53" t="s">
        <v>39</v>
      </c>
      <c r="C304" s="5">
        <v>23200</v>
      </c>
      <c r="D304" s="17"/>
      <c r="E304" s="16" t="s">
        <v>21</v>
      </c>
      <c r="F304" s="20"/>
      <c r="G304" s="16" t="s">
        <v>21</v>
      </c>
      <c r="H304" s="20"/>
      <c r="I304" s="5">
        <v>5700</v>
      </c>
      <c r="J304" s="17" t="s">
        <v>23</v>
      </c>
      <c r="K304" s="16" t="s">
        <v>21</v>
      </c>
      <c r="L304" s="18"/>
      <c r="M304" s="5">
        <v>94</v>
      </c>
      <c r="N304" s="17"/>
      <c r="O304" s="16" t="s">
        <v>21</v>
      </c>
      <c r="Q304" s="16" t="s">
        <v>21</v>
      </c>
      <c r="R304" s="18"/>
      <c r="S304" s="16" t="s">
        <v>21</v>
      </c>
      <c r="T304" s="20"/>
    </row>
    <row r="305" spans="1:22" ht="11.25" customHeight="1" x14ac:dyDescent="0.25">
      <c r="A305" s="53" t="s">
        <v>40</v>
      </c>
      <c r="C305" s="16" t="s">
        <v>21</v>
      </c>
      <c r="D305" s="18"/>
      <c r="E305" s="16" t="s">
        <v>21</v>
      </c>
      <c r="F305" s="20"/>
      <c r="G305" s="16" t="s">
        <v>21</v>
      </c>
      <c r="H305" s="22"/>
      <c r="I305" s="5">
        <v>2500</v>
      </c>
      <c r="J305" s="17" t="s">
        <v>23</v>
      </c>
      <c r="K305" s="16" t="s">
        <v>21</v>
      </c>
      <c r="L305" s="18"/>
      <c r="M305" s="5">
        <v>400</v>
      </c>
      <c r="N305" s="17" t="s">
        <v>23</v>
      </c>
      <c r="O305" s="16" t="s">
        <v>21</v>
      </c>
      <c r="Q305" s="16" t="s">
        <v>21</v>
      </c>
      <c r="R305" s="18"/>
      <c r="S305" s="16" t="s">
        <v>21</v>
      </c>
      <c r="T305" s="20"/>
    </row>
    <row r="306" spans="1:22" ht="11.25" customHeight="1" x14ac:dyDescent="0.2">
      <c r="A306" s="53" t="s">
        <v>41</v>
      </c>
      <c r="C306" s="67" t="s">
        <v>21</v>
      </c>
      <c r="D306" s="18"/>
      <c r="E306" s="67" t="s">
        <v>21</v>
      </c>
      <c r="F306" s="20"/>
      <c r="G306" s="16" t="s">
        <v>21</v>
      </c>
      <c r="H306" s="22"/>
      <c r="I306" s="16" t="s">
        <v>21</v>
      </c>
      <c r="J306" s="17"/>
      <c r="K306" s="16" t="s">
        <v>21</v>
      </c>
      <c r="L306" s="18"/>
      <c r="M306" s="16" t="s">
        <v>21</v>
      </c>
      <c r="N306" s="18"/>
      <c r="O306" s="16" t="s">
        <v>21</v>
      </c>
      <c r="P306" s="17"/>
      <c r="Q306" s="16" t="s">
        <v>21</v>
      </c>
      <c r="R306" s="18"/>
      <c r="S306" s="16" t="s">
        <v>21</v>
      </c>
      <c r="T306" s="20"/>
    </row>
    <row r="307" spans="1:22" ht="11.25" customHeight="1" x14ac:dyDescent="0.2">
      <c r="A307" s="53" t="s">
        <v>42</v>
      </c>
      <c r="C307" s="9">
        <v>112249</v>
      </c>
      <c r="D307" s="20"/>
      <c r="E307" s="67" t="s">
        <v>21</v>
      </c>
      <c r="F307" s="20"/>
      <c r="G307" s="16" t="s">
        <v>21</v>
      </c>
      <c r="H307" s="20"/>
      <c r="I307" s="35">
        <v>3500</v>
      </c>
      <c r="J307" s="20" t="s">
        <v>23</v>
      </c>
      <c r="K307" s="16" t="s">
        <v>21</v>
      </c>
      <c r="L307" s="18"/>
      <c r="M307" s="16" t="s">
        <v>21</v>
      </c>
      <c r="N307" s="18"/>
      <c r="O307" s="16" t="s">
        <v>21</v>
      </c>
      <c r="Q307" s="16" t="s">
        <v>21</v>
      </c>
      <c r="R307" s="18"/>
      <c r="S307" s="16" t="s">
        <v>21</v>
      </c>
      <c r="T307" s="20"/>
    </row>
    <row r="308" spans="1:22" ht="11.25" customHeight="1" x14ac:dyDescent="0.2">
      <c r="A308" s="53" t="s">
        <v>43</v>
      </c>
      <c r="C308" s="66">
        <v>76000</v>
      </c>
      <c r="D308" s="17" t="s">
        <v>23</v>
      </c>
      <c r="E308" s="6">
        <v>105000</v>
      </c>
      <c r="F308" s="20" t="s">
        <v>23</v>
      </c>
      <c r="G308" s="16" t="s">
        <v>21</v>
      </c>
      <c r="H308" s="20"/>
      <c r="I308" s="5">
        <v>23500</v>
      </c>
      <c r="J308" s="17" t="s">
        <v>23</v>
      </c>
      <c r="K308" s="16" t="s">
        <v>21</v>
      </c>
      <c r="L308" s="18"/>
      <c r="M308" s="6">
        <v>600</v>
      </c>
      <c r="N308" s="17" t="s">
        <v>23</v>
      </c>
      <c r="O308" s="16" t="s">
        <v>21</v>
      </c>
      <c r="Q308" s="16" t="s">
        <v>21</v>
      </c>
      <c r="R308" s="18"/>
      <c r="S308" s="6">
        <v>1903</v>
      </c>
      <c r="T308" s="20"/>
    </row>
    <row r="309" spans="1:22" ht="11.25" customHeight="1" x14ac:dyDescent="0.2">
      <c r="A309" s="53" t="s">
        <v>44</v>
      </c>
      <c r="C309" s="35">
        <v>194100</v>
      </c>
      <c r="D309" s="24"/>
      <c r="E309" s="35">
        <v>300886</v>
      </c>
      <c r="F309" s="24"/>
      <c r="G309" s="88">
        <v>1017</v>
      </c>
      <c r="H309" s="24"/>
      <c r="I309" s="88">
        <v>12313</v>
      </c>
      <c r="J309" s="38">
        <v>6</v>
      </c>
      <c r="K309" s="16" t="s">
        <v>21</v>
      </c>
      <c r="L309" s="24"/>
      <c r="M309" s="88">
        <v>213</v>
      </c>
      <c r="N309" s="24"/>
      <c r="O309" s="88">
        <v>350</v>
      </c>
      <c r="P309" s="24"/>
      <c r="Q309" s="16" t="s">
        <v>21</v>
      </c>
      <c r="R309" s="24"/>
      <c r="S309" s="88">
        <v>1232</v>
      </c>
      <c r="T309" s="24"/>
      <c r="V309" s="46"/>
    </row>
    <row r="310" spans="1:22" ht="11.25" customHeight="1" x14ac:dyDescent="0.2">
      <c r="A310" s="53" t="s">
        <v>45</v>
      </c>
      <c r="C310" s="66">
        <v>4510</v>
      </c>
      <c r="D310" s="18"/>
      <c r="E310" s="67" t="s">
        <v>21</v>
      </c>
      <c r="F310" s="17"/>
      <c r="G310" s="16" t="s">
        <v>21</v>
      </c>
      <c r="H310" s="22"/>
      <c r="I310" s="5">
        <v>848</v>
      </c>
      <c r="J310" s="17" t="s">
        <v>23</v>
      </c>
      <c r="K310" s="16" t="s">
        <v>21</v>
      </c>
      <c r="L310" s="18"/>
      <c r="M310" s="16" t="s">
        <v>21</v>
      </c>
      <c r="N310" s="18"/>
      <c r="O310" s="16" t="s">
        <v>21</v>
      </c>
      <c r="Q310" s="16" t="s">
        <v>21</v>
      </c>
      <c r="R310" s="18"/>
      <c r="S310" s="16" t="s">
        <v>21</v>
      </c>
      <c r="T310" s="20"/>
    </row>
    <row r="311" spans="1:22" ht="11.25" customHeight="1" x14ac:dyDescent="0.2">
      <c r="A311" s="53" t="s">
        <v>46</v>
      </c>
      <c r="C311" s="67" t="s">
        <v>21</v>
      </c>
      <c r="D311" s="17"/>
      <c r="E311" s="67" t="s">
        <v>21</v>
      </c>
      <c r="F311" s="20"/>
      <c r="G311" s="16" t="s">
        <v>21</v>
      </c>
      <c r="H311" s="20"/>
      <c r="I311" s="5">
        <v>2468</v>
      </c>
      <c r="J311" s="17"/>
      <c r="K311" s="16" t="s">
        <v>21</v>
      </c>
      <c r="L311" s="17"/>
      <c r="M311" s="16" t="s">
        <v>21</v>
      </c>
      <c r="N311" s="18"/>
      <c r="O311" s="16" t="s">
        <v>21</v>
      </c>
      <c r="Q311" s="16" t="s">
        <v>21</v>
      </c>
      <c r="R311" s="18"/>
      <c r="S311" s="2">
        <v>5600</v>
      </c>
      <c r="T311" s="20" t="s">
        <v>23</v>
      </c>
    </row>
    <row r="312" spans="1:22" ht="11.25" customHeight="1" x14ac:dyDescent="0.2">
      <c r="A312" s="53" t="s">
        <v>47</v>
      </c>
      <c r="C312" s="67" t="s">
        <v>21</v>
      </c>
      <c r="D312" s="18"/>
      <c r="E312" s="67" t="s">
        <v>21</v>
      </c>
      <c r="F312" s="20"/>
      <c r="G312" s="16" t="s">
        <v>21</v>
      </c>
      <c r="H312" s="22"/>
      <c r="I312" s="5">
        <v>1200</v>
      </c>
      <c r="J312" s="17" t="s">
        <v>23</v>
      </c>
      <c r="K312" s="16" t="s">
        <v>21</v>
      </c>
      <c r="L312" s="18"/>
      <c r="M312" s="16" t="s">
        <v>21</v>
      </c>
      <c r="N312" s="18"/>
      <c r="O312" s="16" t="s">
        <v>21</v>
      </c>
      <c r="Q312" s="16" t="s">
        <v>21</v>
      </c>
      <c r="R312" s="18"/>
      <c r="S312" s="16" t="s">
        <v>21</v>
      </c>
      <c r="T312" s="20"/>
    </row>
    <row r="313" spans="1:22" ht="11.25" customHeight="1" x14ac:dyDescent="0.2">
      <c r="A313" s="53" t="s">
        <v>48</v>
      </c>
      <c r="C313" s="67" t="s">
        <v>21</v>
      </c>
      <c r="D313" s="18"/>
      <c r="E313" s="67" t="s">
        <v>21</v>
      </c>
      <c r="F313" s="20"/>
      <c r="G313" s="16" t="s">
        <v>21</v>
      </c>
      <c r="H313" s="22"/>
      <c r="I313" s="5">
        <v>1354</v>
      </c>
      <c r="J313" s="18"/>
      <c r="K313" s="16" t="s">
        <v>21</v>
      </c>
      <c r="L313" s="18"/>
      <c r="M313" s="5">
        <v>716</v>
      </c>
      <c r="N313" s="18"/>
      <c r="O313" s="16" t="s">
        <v>21</v>
      </c>
      <c r="Q313" s="16" t="s">
        <v>21</v>
      </c>
      <c r="R313" s="18"/>
      <c r="S313" s="16" t="s">
        <v>21</v>
      </c>
      <c r="T313" s="20"/>
    </row>
    <row r="314" spans="1:22" ht="11.25" customHeight="1" x14ac:dyDescent="0.2">
      <c r="A314" s="53" t="s">
        <v>49</v>
      </c>
      <c r="C314" s="67" t="s">
        <v>21</v>
      </c>
      <c r="D314" s="18"/>
      <c r="E314" s="67" t="s">
        <v>21</v>
      </c>
      <c r="F314" s="20"/>
      <c r="G314" s="16" t="s">
        <v>21</v>
      </c>
      <c r="H314" s="22"/>
      <c r="I314" s="6">
        <v>1150</v>
      </c>
      <c r="J314" s="17" t="s">
        <v>23</v>
      </c>
      <c r="K314" s="16" t="s">
        <v>21</v>
      </c>
      <c r="L314" s="18"/>
      <c r="M314" s="16" t="s">
        <v>21</v>
      </c>
      <c r="N314" s="18"/>
      <c r="O314" s="16" t="s">
        <v>21</v>
      </c>
      <c r="Q314" s="16" t="s">
        <v>21</v>
      </c>
      <c r="R314" s="18"/>
      <c r="S314" s="16" t="s">
        <v>21</v>
      </c>
      <c r="T314" s="20"/>
    </row>
    <row r="315" spans="1:22" ht="11.25" customHeight="1" x14ac:dyDescent="0.2">
      <c r="A315" s="53" t="s">
        <v>50</v>
      </c>
      <c r="C315" s="67" t="s">
        <v>21</v>
      </c>
      <c r="D315" s="18"/>
      <c r="E315" s="67" t="s">
        <v>21</v>
      </c>
      <c r="F315" s="20"/>
      <c r="G315" s="16" t="s">
        <v>21</v>
      </c>
      <c r="H315" s="22"/>
      <c r="I315" s="16" t="s">
        <v>21</v>
      </c>
      <c r="J315" s="18"/>
      <c r="K315" s="16" t="s">
        <v>21</v>
      </c>
      <c r="L315" s="18"/>
      <c r="M315" s="16" t="s">
        <v>21</v>
      </c>
      <c r="N315" s="18"/>
      <c r="O315" s="16" t="s">
        <v>21</v>
      </c>
      <c r="Q315" s="16" t="s">
        <v>21</v>
      </c>
      <c r="R315" s="18"/>
      <c r="S315" s="5">
        <v>2</v>
      </c>
      <c r="T315" s="20" t="s">
        <v>23</v>
      </c>
    </row>
    <row r="316" spans="1:22" ht="11.25" customHeight="1" x14ac:dyDescent="0.2">
      <c r="A316" s="53" t="s">
        <v>51</v>
      </c>
      <c r="C316" s="67" t="s">
        <v>21</v>
      </c>
      <c r="D316" s="18"/>
      <c r="E316" s="67" t="s">
        <v>21</v>
      </c>
      <c r="F316" s="20"/>
      <c r="G316" s="16" t="s">
        <v>21</v>
      </c>
      <c r="H316" s="20"/>
      <c r="I316" s="5">
        <v>1243</v>
      </c>
      <c r="J316" s="17"/>
      <c r="K316" s="16" t="s">
        <v>21</v>
      </c>
      <c r="L316" s="18"/>
      <c r="M316" s="16" t="s">
        <v>21</v>
      </c>
      <c r="N316" s="18"/>
      <c r="O316" s="16" t="s">
        <v>21</v>
      </c>
      <c r="Q316" s="16" t="s">
        <v>21</v>
      </c>
      <c r="R316" s="18"/>
      <c r="S316" s="16" t="s">
        <v>21</v>
      </c>
      <c r="T316" s="20"/>
    </row>
    <row r="317" spans="1:22" ht="11.25" customHeight="1" x14ac:dyDescent="0.2">
      <c r="A317" s="53" t="s">
        <v>52</v>
      </c>
      <c r="C317" s="5">
        <v>9357</v>
      </c>
      <c r="D317" s="18"/>
      <c r="E317" s="67" t="s">
        <v>21</v>
      </c>
      <c r="F317" s="20"/>
      <c r="G317" s="16" t="s">
        <v>21</v>
      </c>
      <c r="H317" s="22"/>
      <c r="I317" s="16" t="s">
        <v>21</v>
      </c>
      <c r="J317" s="18"/>
      <c r="K317" s="16" t="s">
        <v>21</v>
      </c>
      <c r="L317" s="18"/>
      <c r="M317" s="16" t="s">
        <v>21</v>
      </c>
      <c r="N317" s="18"/>
      <c r="O317" s="16" t="s">
        <v>21</v>
      </c>
      <c r="Q317" s="16" t="s">
        <v>21</v>
      </c>
      <c r="R317" s="18"/>
      <c r="S317" s="16" t="s">
        <v>21</v>
      </c>
      <c r="T317" s="20"/>
    </row>
    <row r="318" spans="1:22" ht="11.25" customHeight="1" x14ac:dyDescent="0.2">
      <c r="A318" s="53" t="s">
        <v>53</v>
      </c>
      <c r="C318" s="67" t="s">
        <v>21</v>
      </c>
      <c r="D318" s="18"/>
      <c r="E318" s="5">
        <v>260000</v>
      </c>
      <c r="F318" s="19" t="s">
        <v>23</v>
      </c>
      <c r="G318" s="16" t="s">
        <v>21</v>
      </c>
      <c r="H318" s="22"/>
      <c r="I318" s="5">
        <v>2500</v>
      </c>
      <c r="J318" s="17" t="s">
        <v>23</v>
      </c>
      <c r="K318" s="16" t="s">
        <v>21</v>
      </c>
      <c r="L318" s="18"/>
      <c r="M318" s="5">
        <v>2000</v>
      </c>
      <c r="N318" s="17" t="s">
        <v>23</v>
      </c>
      <c r="O318" s="16" t="s">
        <v>21</v>
      </c>
      <c r="Q318" s="16" t="s">
        <v>21</v>
      </c>
      <c r="R318" s="18"/>
      <c r="S318" s="5">
        <v>6121</v>
      </c>
      <c r="T318" s="20"/>
    </row>
    <row r="319" spans="1:22" ht="11.25" customHeight="1" x14ac:dyDescent="0.2">
      <c r="A319" s="53" t="s">
        <v>54</v>
      </c>
      <c r="C319" s="66">
        <v>30100</v>
      </c>
      <c r="D319" s="17" t="s">
        <v>140</v>
      </c>
      <c r="E319" s="67" t="s">
        <v>21</v>
      </c>
      <c r="F319" s="20"/>
      <c r="G319" s="16" t="s">
        <v>21</v>
      </c>
      <c r="H319" s="20"/>
      <c r="I319" s="5">
        <v>935</v>
      </c>
      <c r="J319" s="17"/>
      <c r="K319" s="16" t="s">
        <v>21</v>
      </c>
      <c r="L319" s="18"/>
      <c r="M319" s="16" t="s">
        <v>21</v>
      </c>
      <c r="N319" s="18"/>
      <c r="O319" s="16" t="s">
        <v>21</v>
      </c>
      <c r="Q319" s="16" t="s">
        <v>21</v>
      </c>
      <c r="R319" s="18"/>
      <c r="S319" s="16" t="s">
        <v>21</v>
      </c>
      <c r="T319" s="20"/>
    </row>
    <row r="320" spans="1:22" ht="11.25" customHeight="1" x14ac:dyDescent="0.2">
      <c r="A320" s="53" t="s">
        <v>55</v>
      </c>
      <c r="C320" s="67" t="s">
        <v>21</v>
      </c>
      <c r="D320" s="18"/>
      <c r="E320" s="5">
        <v>180323</v>
      </c>
      <c r="F320" s="17"/>
      <c r="G320" s="16" t="s">
        <v>21</v>
      </c>
      <c r="H320" s="22"/>
      <c r="I320" s="5">
        <v>1440</v>
      </c>
      <c r="J320" s="17" t="s">
        <v>23</v>
      </c>
      <c r="K320" s="16" t="s">
        <v>21</v>
      </c>
      <c r="L320" s="18"/>
      <c r="M320" s="16" t="s">
        <v>21</v>
      </c>
      <c r="N320" s="17"/>
      <c r="O320" s="16" t="s">
        <v>21</v>
      </c>
      <c r="Q320" s="16" t="s">
        <v>21</v>
      </c>
      <c r="R320" s="18"/>
      <c r="S320" s="16" t="s">
        <v>21</v>
      </c>
      <c r="T320" s="20"/>
    </row>
    <row r="321" spans="1:20" ht="11.25" customHeight="1" x14ac:dyDescent="0.2">
      <c r="A321" s="84" t="s">
        <v>56</v>
      </c>
      <c r="C321" s="67" t="s">
        <v>21</v>
      </c>
      <c r="D321" s="17"/>
      <c r="E321" s="9">
        <v>170000</v>
      </c>
      <c r="F321" s="19" t="s">
        <v>23</v>
      </c>
      <c r="G321" s="16" t="s">
        <v>21</v>
      </c>
      <c r="H321" s="20"/>
      <c r="I321" s="5">
        <v>19300</v>
      </c>
      <c r="J321" s="17" t="s">
        <v>23</v>
      </c>
      <c r="K321" s="16" t="s">
        <v>21</v>
      </c>
      <c r="L321" s="17"/>
      <c r="M321" s="5">
        <v>2100</v>
      </c>
      <c r="N321" s="17" t="s">
        <v>23</v>
      </c>
      <c r="O321" s="16" t="s">
        <v>21</v>
      </c>
      <c r="P321" s="20"/>
      <c r="Q321" s="16" t="s">
        <v>21</v>
      </c>
      <c r="R321" s="18"/>
      <c r="S321" s="5">
        <v>4277</v>
      </c>
      <c r="T321" s="20"/>
    </row>
    <row r="322" spans="1:20" ht="11.25" customHeight="1" x14ac:dyDescent="0.25">
      <c r="A322" s="188" t="s">
        <v>57</v>
      </c>
      <c r="B322" s="188"/>
      <c r="C322" s="188"/>
      <c r="D322" s="188"/>
      <c r="E322" s="188"/>
      <c r="F322" s="188"/>
      <c r="G322" s="188"/>
      <c r="H322" s="188"/>
      <c r="I322" s="188"/>
      <c r="J322" s="188"/>
      <c r="K322" s="188"/>
      <c r="L322" s="188"/>
      <c r="M322" s="188"/>
      <c r="N322" s="188"/>
      <c r="O322" s="188"/>
      <c r="P322" s="188"/>
      <c r="Q322" s="188"/>
      <c r="R322" s="188"/>
      <c r="S322" s="188"/>
      <c r="T322" s="188"/>
    </row>
    <row r="323" spans="1:20" ht="11.25" customHeight="1" x14ac:dyDescent="0.25">
      <c r="A323" s="183" t="s">
        <v>196</v>
      </c>
      <c r="B323" s="183"/>
      <c r="C323" s="183"/>
      <c r="D323" s="183"/>
      <c r="E323" s="183"/>
      <c r="F323" s="183"/>
      <c r="G323" s="183"/>
      <c r="H323" s="183"/>
      <c r="I323" s="183"/>
      <c r="J323" s="183"/>
      <c r="K323" s="183"/>
      <c r="L323" s="183"/>
      <c r="M323" s="183"/>
      <c r="N323" s="183"/>
      <c r="O323" s="183"/>
      <c r="P323" s="183"/>
      <c r="Q323" s="183"/>
      <c r="R323" s="183"/>
      <c r="S323" s="183"/>
      <c r="T323" s="183"/>
    </row>
    <row r="324" spans="1:20" ht="11.25" customHeight="1" x14ac:dyDescent="0.25">
      <c r="A324" s="183" t="s">
        <v>202</v>
      </c>
      <c r="B324" s="183"/>
      <c r="C324" s="183"/>
      <c r="D324" s="183"/>
      <c r="E324" s="183"/>
      <c r="F324" s="183"/>
      <c r="G324" s="183"/>
      <c r="H324" s="183"/>
      <c r="I324" s="183"/>
      <c r="J324" s="183"/>
      <c r="K324" s="183"/>
      <c r="L324" s="183"/>
      <c r="M324" s="183"/>
      <c r="N324" s="183"/>
      <c r="O324" s="183"/>
      <c r="P324" s="183"/>
      <c r="Q324" s="183"/>
      <c r="R324" s="183"/>
      <c r="S324" s="183"/>
      <c r="T324" s="183"/>
    </row>
    <row r="325" spans="1:20" ht="11.25" customHeight="1" x14ac:dyDescent="0.25">
      <c r="A325" s="183"/>
      <c r="B325" s="183"/>
      <c r="C325" s="183"/>
      <c r="D325" s="183"/>
      <c r="E325" s="183"/>
      <c r="F325" s="183"/>
      <c r="G325" s="183"/>
      <c r="H325" s="183"/>
      <c r="I325" s="183"/>
      <c r="J325" s="183"/>
      <c r="K325" s="183"/>
      <c r="L325" s="183"/>
      <c r="M325" s="183"/>
      <c r="N325" s="183"/>
      <c r="O325" s="183"/>
      <c r="P325" s="183"/>
      <c r="Q325" s="183"/>
      <c r="R325" s="183"/>
      <c r="S325" s="183"/>
      <c r="T325" s="183"/>
    </row>
    <row r="326" spans="1:20" ht="11.25" customHeight="1" x14ac:dyDescent="0.25">
      <c r="A326" s="183" t="s">
        <v>195</v>
      </c>
      <c r="B326" s="183"/>
      <c r="C326" s="183"/>
      <c r="D326" s="183"/>
      <c r="E326" s="183"/>
      <c r="F326" s="183"/>
      <c r="G326" s="183"/>
      <c r="H326" s="183"/>
      <c r="I326" s="183"/>
      <c r="J326" s="183"/>
      <c r="K326" s="183"/>
      <c r="L326" s="183"/>
      <c r="M326" s="183"/>
      <c r="N326" s="183"/>
      <c r="O326" s="183"/>
      <c r="P326" s="183"/>
      <c r="Q326" s="183"/>
      <c r="R326" s="183"/>
      <c r="S326" s="183"/>
      <c r="T326" s="183"/>
    </row>
    <row r="327" spans="1:20" ht="11.25" customHeight="1" x14ac:dyDescent="0.25">
      <c r="A327" s="184"/>
      <c r="B327" s="184"/>
      <c r="C327" s="184"/>
      <c r="D327" s="184"/>
      <c r="E327" s="184"/>
      <c r="F327" s="184"/>
      <c r="G327" s="184"/>
      <c r="H327" s="184"/>
      <c r="I327" s="184"/>
      <c r="J327" s="184"/>
      <c r="K327" s="184"/>
      <c r="L327" s="184"/>
      <c r="M327" s="184"/>
      <c r="N327" s="184"/>
      <c r="O327" s="184"/>
      <c r="P327" s="184"/>
      <c r="Q327" s="184"/>
      <c r="R327" s="184"/>
      <c r="S327" s="184"/>
      <c r="T327" s="184"/>
    </row>
    <row r="328" spans="1:20" ht="11.25" customHeight="1" x14ac:dyDescent="0.25">
      <c r="A328" s="63"/>
      <c r="B328" s="63"/>
      <c r="C328" s="185" t="s">
        <v>197</v>
      </c>
      <c r="D328" s="185"/>
      <c r="E328" s="185"/>
      <c r="F328" s="63"/>
      <c r="G328" s="185" t="s">
        <v>119</v>
      </c>
      <c r="H328" s="185"/>
      <c r="I328" s="185"/>
      <c r="J328" s="185"/>
      <c r="K328" s="185"/>
      <c r="L328" s="185"/>
      <c r="M328" s="185"/>
      <c r="N328" s="185"/>
      <c r="O328" s="185"/>
      <c r="P328" s="185"/>
      <c r="Q328" s="185"/>
      <c r="R328" s="185"/>
      <c r="S328" s="185"/>
      <c r="T328" s="185"/>
    </row>
    <row r="329" spans="1:20" ht="11.25" customHeight="1" x14ac:dyDescent="0.25">
      <c r="C329" s="187" t="s">
        <v>120</v>
      </c>
      <c r="D329" s="187"/>
      <c r="E329" s="187"/>
      <c r="G329" s="48"/>
      <c r="H329" s="18"/>
      <c r="K329" s="48" t="s">
        <v>121</v>
      </c>
      <c r="L329" s="14"/>
    </row>
    <row r="330" spans="1:20" s="41" customFormat="1" ht="11.25" customHeight="1" x14ac:dyDescent="0.25">
      <c r="A330" s="14"/>
      <c r="B330" s="14"/>
      <c r="C330" s="48"/>
      <c r="D330" s="49"/>
      <c r="E330" s="14" t="s">
        <v>122</v>
      </c>
      <c r="F330" s="14"/>
      <c r="G330" s="48"/>
      <c r="H330" s="47"/>
      <c r="I330" s="14"/>
      <c r="J330" s="14"/>
      <c r="K330" s="48" t="s">
        <v>123</v>
      </c>
      <c r="L330" s="14"/>
      <c r="M330" s="14" t="s">
        <v>124</v>
      </c>
      <c r="N330" s="14"/>
      <c r="O330" s="14"/>
      <c r="P330" s="14"/>
      <c r="Q330" s="14"/>
      <c r="R330" s="14"/>
      <c r="S330" s="14"/>
      <c r="T330" s="14"/>
    </row>
    <row r="331" spans="1:20" s="41" customFormat="1" ht="11.25" customHeight="1" x14ac:dyDescent="0.25">
      <c r="A331" s="14"/>
      <c r="B331" s="14"/>
      <c r="C331" s="48" t="s">
        <v>10</v>
      </c>
      <c r="D331" s="49"/>
      <c r="E331" s="14" t="s">
        <v>125</v>
      </c>
      <c r="F331" s="14"/>
      <c r="G331" s="48"/>
      <c r="H331" s="18"/>
      <c r="I331" s="14" t="s">
        <v>126</v>
      </c>
      <c r="J331" s="13"/>
      <c r="K331" s="48" t="s">
        <v>127</v>
      </c>
      <c r="L331" s="14"/>
      <c r="M331" s="48" t="s">
        <v>128</v>
      </c>
      <c r="N331" s="14"/>
      <c r="O331" s="48" t="s">
        <v>129</v>
      </c>
      <c r="P331" s="14"/>
      <c r="Q331" s="48" t="s">
        <v>130</v>
      </c>
      <c r="R331" s="14"/>
      <c r="S331" s="14"/>
      <c r="T331" s="14"/>
    </row>
    <row r="332" spans="1:20" s="41" customFormat="1" ht="11.25" customHeight="1" x14ac:dyDescent="0.25">
      <c r="A332" s="12" t="s">
        <v>171</v>
      </c>
      <c r="B332" s="12"/>
      <c r="C332" s="50" t="s">
        <v>131</v>
      </c>
      <c r="D332" s="52"/>
      <c r="E332" s="12" t="s">
        <v>132</v>
      </c>
      <c r="F332" s="12"/>
      <c r="G332" s="12" t="s">
        <v>133</v>
      </c>
      <c r="H332" s="12"/>
      <c r="I332" s="12" t="s">
        <v>134</v>
      </c>
      <c r="J332" s="12"/>
      <c r="K332" s="50" t="s">
        <v>135</v>
      </c>
      <c r="L332" s="12"/>
      <c r="M332" s="50" t="s">
        <v>136</v>
      </c>
      <c r="N332" s="12"/>
      <c r="O332" s="50" t="s">
        <v>137</v>
      </c>
      <c r="P332" s="12"/>
      <c r="Q332" s="50" t="s">
        <v>138</v>
      </c>
      <c r="R332" s="12"/>
      <c r="S332" s="50" t="s">
        <v>139</v>
      </c>
      <c r="T332" s="14"/>
    </row>
    <row r="333" spans="1:20" ht="11.25" customHeight="1" x14ac:dyDescent="0.2">
      <c r="A333" s="53" t="s">
        <v>58</v>
      </c>
      <c r="C333" s="67" t="s">
        <v>21</v>
      </c>
      <c r="D333" s="18"/>
      <c r="E333" s="6">
        <v>187703</v>
      </c>
      <c r="F333" s="20"/>
      <c r="G333" s="16" t="s">
        <v>21</v>
      </c>
      <c r="H333" s="20"/>
      <c r="I333" s="5">
        <v>4500</v>
      </c>
      <c r="J333" s="17" t="s">
        <v>23</v>
      </c>
      <c r="K333" s="16" t="s">
        <v>21</v>
      </c>
      <c r="L333" s="18"/>
      <c r="M333" s="16" t="s">
        <v>21</v>
      </c>
      <c r="N333" s="17"/>
      <c r="O333" s="16" t="s">
        <v>21</v>
      </c>
      <c r="P333" s="20"/>
      <c r="Q333" s="16" t="s">
        <v>21</v>
      </c>
      <c r="R333" s="18"/>
      <c r="S333" s="5">
        <v>4471</v>
      </c>
      <c r="T333" s="20"/>
    </row>
    <row r="334" spans="1:20" ht="11.25" customHeight="1" x14ac:dyDescent="0.2">
      <c r="A334" s="53" t="s">
        <v>59</v>
      </c>
      <c r="C334" s="67" t="s">
        <v>21</v>
      </c>
      <c r="D334" s="18"/>
      <c r="E334" s="67" t="s">
        <v>21</v>
      </c>
      <c r="F334" s="20"/>
      <c r="G334" s="16" t="s">
        <v>21</v>
      </c>
      <c r="H334" s="20"/>
      <c r="I334" s="5">
        <v>10676</v>
      </c>
      <c r="J334" s="17"/>
      <c r="K334" s="16" t="s">
        <v>21</v>
      </c>
      <c r="L334" s="17"/>
      <c r="M334" s="5">
        <v>700</v>
      </c>
      <c r="N334" s="17" t="s">
        <v>23</v>
      </c>
      <c r="O334" s="16" t="s">
        <v>21</v>
      </c>
      <c r="P334" s="20"/>
      <c r="Q334" s="16" t="s">
        <v>21</v>
      </c>
      <c r="R334" s="18"/>
      <c r="S334" s="5">
        <v>1250</v>
      </c>
      <c r="T334" s="20"/>
    </row>
    <row r="335" spans="1:20" ht="11.25" customHeight="1" x14ac:dyDescent="0.25">
      <c r="A335" s="53" t="s">
        <v>60</v>
      </c>
      <c r="C335" s="5">
        <v>306000</v>
      </c>
      <c r="D335" s="17"/>
      <c r="E335" s="5">
        <v>198000</v>
      </c>
      <c r="F335" s="17"/>
      <c r="G335" s="9">
        <v>200</v>
      </c>
      <c r="H335" s="20" t="s">
        <v>23</v>
      </c>
      <c r="I335" s="5">
        <v>59700</v>
      </c>
      <c r="J335" s="17"/>
      <c r="K335" s="6">
        <v>39100</v>
      </c>
      <c r="L335" s="17" t="s">
        <v>23</v>
      </c>
      <c r="M335" s="5">
        <v>16300</v>
      </c>
      <c r="N335" s="17" t="s">
        <v>23</v>
      </c>
      <c r="O335" s="5">
        <v>6200</v>
      </c>
      <c r="P335" s="17" t="s">
        <v>23</v>
      </c>
      <c r="Q335" s="5">
        <v>9101</v>
      </c>
      <c r="R335" s="17"/>
      <c r="S335" s="5">
        <v>8242</v>
      </c>
      <c r="T335" s="20"/>
    </row>
    <row r="336" spans="1:20" ht="11.25" customHeight="1" x14ac:dyDescent="0.2">
      <c r="A336" s="53" t="s">
        <v>61</v>
      </c>
      <c r="C336" s="5">
        <v>6400</v>
      </c>
      <c r="D336" s="17"/>
      <c r="E336" s="67" t="s">
        <v>21</v>
      </c>
      <c r="F336" s="20"/>
      <c r="G336" s="6" t="s">
        <v>21</v>
      </c>
      <c r="H336" s="22"/>
      <c r="I336" s="5">
        <v>2610</v>
      </c>
      <c r="J336" s="17"/>
      <c r="K336" s="6" t="s">
        <v>21</v>
      </c>
      <c r="L336" s="18"/>
      <c r="M336" s="5" t="s">
        <v>21</v>
      </c>
      <c r="N336" s="17"/>
      <c r="O336" s="6" t="s">
        <v>21</v>
      </c>
      <c r="Q336" s="6" t="s">
        <v>21</v>
      </c>
      <c r="R336" s="18"/>
      <c r="S336" s="5">
        <v>13459</v>
      </c>
      <c r="T336" s="20"/>
    </row>
    <row r="337" spans="1:20" ht="11.25" customHeight="1" x14ac:dyDescent="0.25">
      <c r="A337" s="53" t="s">
        <v>63</v>
      </c>
      <c r="C337" s="6" t="s">
        <v>21</v>
      </c>
      <c r="D337" s="18"/>
      <c r="E337" s="6" t="s">
        <v>21</v>
      </c>
      <c r="F337" s="20"/>
      <c r="G337" s="9">
        <v>6</v>
      </c>
      <c r="H337" s="20" t="s">
        <v>23</v>
      </c>
      <c r="I337" s="5">
        <v>4165</v>
      </c>
      <c r="J337" s="17"/>
      <c r="K337" s="6" t="s">
        <v>21</v>
      </c>
      <c r="L337" s="18"/>
      <c r="M337" s="5">
        <v>493</v>
      </c>
      <c r="N337" s="17"/>
      <c r="O337" s="5" t="s">
        <v>21</v>
      </c>
      <c r="Q337" s="5" t="s">
        <v>21</v>
      </c>
      <c r="R337" s="18"/>
      <c r="S337" s="5" t="s">
        <v>21</v>
      </c>
      <c r="T337" s="20"/>
    </row>
    <row r="338" spans="1:20" ht="11.25" customHeight="1" x14ac:dyDescent="0.2">
      <c r="A338" s="53" t="s">
        <v>65</v>
      </c>
      <c r="C338" s="67" t="s">
        <v>21</v>
      </c>
      <c r="D338" s="18"/>
      <c r="E338" s="67" t="s">
        <v>21</v>
      </c>
      <c r="F338" s="20"/>
      <c r="G338" s="6" t="s">
        <v>21</v>
      </c>
      <c r="H338" s="22"/>
      <c r="I338" s="5">
        <v>880</v>
      </c>
      <c r="J338" s="17" t="s">
        <v>23</v>
      </c>
      <c r="K338" s="6" t="s">
        <v>21</v>
      </c>
      <c r="L338" s="18"/>
      <c r="M338" s="6" t="s">
        <v>21</v>
      </c>
      <c r="N338" s="18"/>
      <c r="O338" s="6" t="s">
        <v>21</v>
      </c>
      <c r="Q338" s="6" t="s">
        <v>21</v>
      </c>
      <c r="R338" s="18"/>
      <c r="S338" s="87">
        <v>2</v>
      </c>
      <c r="T338" s="20"/>
    </row>
    <row r="339" spans="1:20" ht="11.25" customHeight="1" x14ac:dyDescent="0.25">
      <c r="A339" s="53" t="s">
        <v>66</v>
      </c>
      <c r="C339" s="5">
        <v>90000</v>
      </c>
      <c r="D339" s="17" t="s">
        <v>23</v>
      </c>
      <c r="E339" s="5">
        <v>501327</v>
      </c>
      <c r="F339" s="17"/>
      <c r="G339" s="6" t="s">
        <v>21</v>
      </c>
      <c r="H339" s="20"/>
      <c r="I339" s="89">
        <v>18000</v>
      </c>
      <c r="J339" s="17" t="s">
        <v>23</v>
      </c>
      <c r="K339" s="6" t="s">
        <v>21</v>
      </c>
      <c r="L339" s="18"/>
      <c r="M339" s="5">
        <v>350</v>
      </c>
      <c r="N339" s="17"/>
      <c r="O339" s="6" t="s">
        <v>21</v>
      </c>
      <c r="Q339" s="5">
        <v>365</v>
      </c>
      <c r="R339" s="17"/>
      <c r="S339" s="5">
        <v>3900</v>
      </c>
      <c r="T339" s="20" t="s">
        <v>23</v>
      </c>
    </row>
    <row r="340" spans="1:20" ht="11.25" customHeight="1" x14ac:dyDescent="0.2">
      <c r="A340" s="53" t="s">
        <v>67</v>
      </c>
      <c r="C340" s="5">
        <v>233974</v>
      </c>
      <c r="D340" s="17"/>
      <c r="E340" s="67" t="s">
        <v>21</v>
      </c>
      <c r="F340" s="20"/>
      <c r="G340" s="6" t="s">
        <v>21</v>
      </c>
      <c r="H340" s="22"/>
      <c r="I340" s="5">
        <v>2800</v>
      </c>
      <c r="J340" s="17" t="s">
        <v>23</v>
      </c>
      <c r="K340" s="6" t="s">
        <v>21</v>
      </c>
      <c r="L340" s="18"/>
      <c r="M340" s="6" t="s">
        <v>21</v>
      </c>
      <c r="N340" s="18"/>
      <c r="O340" s="6" t="s">
        <v>21</v>
      </c>
      <c r="Q340" s="6" t="s">
        <v>21</v>
      </c>
      <c r="R340" s="18"/>
      <c r="S340" s="6" t="s">
        <v>21</v>
      </c>
      <c r="T340" s="20"/>
    </row>
    <row r="341" spans="1:20" ht="11.25" customHeight="1" x14ac:dyDescent="0.2">
      <c r="A341" s="53" t="s">
        <v>68</v>
      </c>
      <c r="C341" s="67" t="s">
        <v>21</v>
      </c>
      <c r="D341" s="18"/>
      <c r="E341" s="67" t="s">
        <v>21</v>
      </c>
      <c r="F341" s="20"/>
      <c r="G341" s="6" t="s">
        <v>21</v>
      </c>
      <c r="H341" s="20"/>
      <c r="I341" s="5">
        <v>4180</v>
      </c>
      <c r="J341" s="17"/>
      <c r="K341" s="6" t="s">
        <v>21</v>
      </c>
      <c r="L341" s="18"/>
      <c r="M341" s="5">
        <v>13</v>
      </c>
      <c r="N341" s="17"/>
      <c r="O341" s="6" t="s">
        <v>21</v>
      </c>
      <c r="Q341" s="6" t="s">
        <v>21</v>
      </c>
      <c r="R341" s="18"/>
      <c r="S341" s="87">
        <v>513</v>
      </c>
      <c r="T341" s="20"/>
    </row>
    <row r="342" spans="1:20" ht="11.25" customHeight="1" x14ac:dyDescent="0.2">
      <c r="A342" s="53" t="s">
        <v>69</v>
      </c>
      <c r="C342" s="65">
        <v>70573</v>
      </c>
      <c r="D342" s="18"/>
      <c r="E342" s="6" t="s">
        <v>21</v>
      </c>
      <c r="F342" s="20"/>
      <c r="G342" s="6" t="s">
        <v>21</v>
      </c>
      <c r="H342" s="20"/>
      <c r="I342" s="5">
        <v>4000</v>
      </c>
      <c r="J342" s="17"/>
      <c r="K342" s="6" t="s">
        <v>21</v>
      </c>
      <c r="L342" s="18"/>
      <c r="M342" s="6" t="s">
        <v>21</v>
      </c>
      <c r="N342" s="17"/>
      <c r="O342" s="6" t="s">
        <v>21</v>
      </c>
      <c r="Q342" s="6" t="s">
        <v>21</v>
      </c>
      <c r="R342" s="18"/>
      <c r="S342" s="5">
        <v>39</v>
      </c>
      <c r="T342" s="20"/>
    </row>
    <row r="343" spans="1:20" ht="10.9" customHeight="1" x14ac:dyDescent="0.25">
      <c r="A343" s="53" t="s">
        <v>71</v>
      </c>
      <c r="C343" s="5">
        <v>170000</v>
      </c>
      <c r="D343" s="17" t="s">
        <v>23</v>
      </c>
      <c r="E343" s="6" t="s">
        <v>21</v>
      </c>
      <c r="F343" s="20"/>
      <c r="G343" s="9">
        <v>256</v>
      </c>
      <c r="H343" s="20"/>
      <c r="I343" s="5">
        <v>78945</v>
      </c>
      <c r="J343" s="17" t="s">
        <v>23</v>
      </c>
      <c r="K343" s="6" t="s">
        <v>21</v>
      </c>
      <c r="L343" s="18"/>
      <c r="M343" s="2">
        <v>670</v>
      </c>
      <c r="N343" s="17"/>
      <c r="O343" s="5">
        <v>160</v>
      </c>
      <c r="P343" s="18" t="s">
        <v>23</v>
      </c>
      <c r="Q343" s="6" t="s">
        <v>21</v>
      </c>
      <c r="R343" s="18"/>
      <c r="S343" s="5">
        <v>7844</v>
      </c>
      <c r="T343" s="20"/>
    </row>
    <row r="344" spans="1:20" ht="10.9" customHeight="1" x14ac:dyDescent="0.25">
      <c r="A344" s="53" t="s">
        <v>72</v>
      </c>
      <c r="C344" s="6" t="s">
        <v>21</v>
      </c>
      <c r="D344" s="18"/>
      <c r="E344" s="6" t="s">
        <v>21</v>
      </c>
      <c r="F344" s="20"/>
      <c r="G344" s="6" t="s">
        <v>21</v>
      </c>
      <c r="H344" s="20"/>
      <c r="I344" s="5">
        <v>2100</v>
      </c>
      <c r="J344" s="18" t="s">
        <v>23</v>
      </c>
      <c r="K344" s="6" t="s">
        <v>21</v>
      </c>
      <c r="L344" s="18"/>
      <c r="M344" s="5">
        <v>660</v>
      </c>
      <c r="N344" s="18" t="s">
        <v>23</v>
      </c>
      <c r="O344" s="6" t="s">
        <v>21</v>
      </c>
      <c r="Q344" s="5" t="s">
        <v>21</v>
      </c>
      <c r="R344" s="18"/>
      <c r="S344" s="5">
        <v>75</v>
      </c>
      <c r="T344" s="20" t="s">
        <v>23</v>
      </c>
    </row>
    <row r="345" spans="1:20" ht="10.9" customHeight="1" x14ac:dyDescent="0.25">
      <c r="A345" s="53" t="s">
        <v>73</v>
      </c>
      <c r="C345" s="6" t="s">
        <v>21</v>
      </c>
      <c r="D345" s="18"/>
      <c r="E345" s="6" t="s">
        <v>21</v>
      </c>
      <c r="F345" s="20"/>
      <c r="G345" s="6" t="s">
        <v>21</v>
      </c>
      <c r="H345" s="20"/>
      <c r="I345" s="5">
        <v>10781</v>
      </c>
      <c r="J345" s="17"/>
      <c r="K345" s="6" t="s">
        <v>21</v>
      </c>
      <c r="L345" s="18"/>
      <c r="M345" s="5">
        <v>2170</v>
      </c>
      <c r="N345" s="17"/>
      <c r="O345" s="6" t="s">
        <v>21</v>
      </c>
      <c r="Q345" s="6" t="s">
        <v>21</v>
      </c>
      <c r="R345" s="17"/>
      <c r="S345" s="5">
        <v>1800</v>
      </c>
      <c r="T345" s="20" t="s">
        <v>23</v>
      </c>
    </row>
    <row r="346" spans="1:20" ht="10.9" customHeight="1" x14ac:dyDescent="0.2">
      <c r="A346" s="53" t="s">
        <v>74</v>
      </c>
      <c r="C346" s="6" t="s">
        <v>21</v>
      </c>
      <c r="D346" s="18"/>
      <c r="E346" s="6" t="s">
        <v>21</v>
      </c>
      <c r="F346" s="20"/>
      <c r="G346" s="9">
        <v>50</v>
      </c>
      <c r="H346" s="19" t="s">
        <v>23</v>
      </c>
      <c r="I346" s="88">
        <v>9008</v>
      </c>
      <c r="J346" s="17"/>
      <c r="K346" s="6" t="s">
        <v>21</v>
      </c>
      <c r="L346" s="18"/>
      <c r="M346" s="6">
        <v>860</v>
      </c>
      <c r="N346" s="17" t="s">
        <v>23</v>
      </c>
      <c r="O346" s="6" t="s">
        <v>21</v>
      </c>
      <c r="P346" s="17"/>
      <c r="Q346" s="6">
        <v>110</v>
      </c>
      <c r="R346" s="17"/>
      <c r="S346" s="5">
        <v>2400</v>
      </c>
      <c r="T346" s="20" t="s">
        <v>23</v>
      </c>
    </row>
    <row r="347" spans="1:20" ht="11.25" customHeight="1" x14ac:dyDescent="0.25">
      <c r="A347" s="53" t="s">
        <v>75</v>
      </c>
      <c r="C347" s="5">
        <v>35990</v>
      </c>
      <c r="D347" s="18"/>
      <c r="E347" s="5">
        <v>90000</v>
      </c>
      <c r="F347" s="17"/>
      <c r="G347" s="6" t="s">
        <v>21</v>
      </c>
      <c r="H347" s="20"/>
      <c r="I347" s="5">
        <v>14200</v>
      </c>
      <c r="J347" s="17"/>
      <c r="K347" s="6" t="s">
        <v>21</v>
      </c>
      <c r="L347" s="18"/>
      <c r="M347" s="5">
        <v>1200</v>
      </c>
      <c r="N347" s="18" t="s">
        <v>23</v>
      </c>
      <c r="O347" s="5">
        <v>150</v>
      </c>
      <c r="P347" s="17" t="s">
        <v>23</v>
      </c>
      <c r="Q347" s="5">
        <v>242</v>
      </c>
      <c r="R347" s="17"/>
      <c r="S347" s="6" t="s">
        <v>21</v>
      </c>
      <c r="T347" s="20"/>
    </row>
    <row r="348" spans="1:20" ht="11.25" customHeight="1" x14ac:dyDescent="0.25">
      <c r="A348" s="71" t="s">
        <v>76</v>
      </c>
      <c r="C348" s="8">
        <v>1450000</v>
      </c>
      <c r="D348" s="63"/>
      <c r="E348" s="8">
        <v>2990000</v>
      </c>
      <c r="F348" s="31"/>
      <c r="G348" s="8">
        <v>1630</v>
      </c>
      <c r="H348" s="63"/>
      <c r="I348" s="8">
        <f>I347+I346+I345+I344+I343+I342+I341+I340+I339+I338+I337+I336+I335+I334+I333+I321+I320+I319+I318+I316+I314+I313+I312+I311+I310+I309+I308+I307+I305+I304+I303+I302+I301+I300+I299+I298+I297+I296+I295+I294+I293+I292+I291+I290+I289+I288+I287</f>
        <v>402292</v>
      </c>
      <c r="J348" s="63"/>
      <c r="K348" s="8">
        <v>39200</v>
      </c>
      <c r="L348" s="31"/>
      <c r="M348" s="8">
        <f>M347+M346+M345+M344+M343+M341+M339+M337+M335+M334+M321+M318+M313+M309+M308+M305+M304+M303+M302+M301+M299+M297+M295+M294+M291+M289</f>
        <v>34938</v>
      </c>
      <c r="N348" s="31" t="s">
        <v>23</v>
      </c>
      <c r="O348" s="8">
        <v>7280</v>
      </c>
      <c r="P348" s="30" t="s">
        <v>23</v>
      </c>
      <c r="Q348" s="8">
        <v>20800</v>
      </c>
      <c r="R348" s="31" t="s">
        <v>23</v>
      </c>
      <c r="S348" s="8">
        <v>88500</v>
      </c>
      <c r="T348" s="63"/>
    </row>
    <row r="349" spans="1:20" ht="11.25" customHeight="1" x14ac:dyDescent="0.25">
      <c r="A349" s="71" t="s">
        <v>77</v>
      </c>
      <c r="C349" s="72">
        <v>0.115</v>
      </c>
      <c r="E349" s="72">
        <v>0.21299999999999999</v>
      </c>
      <c r="G349" s="72">
        <v>0.157</v>
      </c>
      <c r="I349" s="72">
        <v>9.1999999999999998E-2</v>
      </c>
      <c r="K349" s="72">
        <v>0.33100000000000002</v>
      </c>
      <c r="M349" s="72">
        <v>0.23300000000000001</v>
      </c>
      <c r="O349" s="72">
        <v>0.105</v>
      </c>
      <c r="Q349" s="72">
        <v>0.45</v>
      </c>
      <c r="S349" s="72">
        <v>0.307</v>
      </c>
    </row>
    <row r="350" spans="1:20" ht="11.25" customHeight="1" x14ac:dyDescent="0.25">
      <c r="A350" s="53" t="s">
        <v>78</v>
      </c>
      <c r="C350" s="9">
        <v>704000</v>
      </c>
      <c r="D350" s="20"/>
      <c r="E350" s="9">
        <v>220000</v>
      </c>
      <c r="F350" s="20" t="s">
        <v>23</v>
      </c>
      <c r="G350" s="10" t="s">
        <v>79</v>
      </c>
      <c r="H350" s="18"/>
      <c r="I350" s="9">
        <v>93300</v>
      </c>
      <c r="J350" s="20" t="s">
        <v>23</v>
      </c>
      <c r="K350" s="16" t="s">
        <v>21</v>
      </c>
      <c r="M350" s="9">
        <v>12700</v>
      </c>
      <c r="N350" s="18"/>
      <c r="O350" s="9">
        <v>6060</v>
      </c>
      <c r="Q350" s="9">
        <v>480</v>
      </c>
      <c r="R350" s="18"/>
      <c r="S350" s="9">
        <v>24100</v>
      </c>
      <c r="T350" s="18" t="s">
        <v>23</v>
      </c>
    </row>
    <row r="351" spans="1:20" ht="11.25" customHeight="1" x14ac:dyDescent="0.25">
      <c r="A351" s="71" t="s">
        <v>77</v>
      </c>
      <c r="C351" s="73">
        <v>5.6000000000000001E-2</v>
      </c>
      <c r="D351" s="74"/>
      <c r="E351" s="73">
        <v>1.6E-2</v>
      </c>
      <c r="G351" s="10" t="s">
        <v>79</v>
      </c>
      <c r="H351" s="74"/>
      <c r="I351" s="73">
        <v>2.1000000000000001E-2</v>
      </c>
      <c r="J351" s="74"/>
      <c r="K351" s="11" t="s">
        <v>21</v>
      </c>
      <c r="L351" s="74"/>
      <c r="M351" s="73">
        <v>8.5000000000000006E-2</v>
      </c>
      <c r="N351" s="74"/>
      <c r="O351" s="73">
        <v>8.6999999999999994E-2</v>
      </c>
      <c r="P351" s="75"/>
      <c r="Q351" s="73">
        <v>0.01</v>
      </c>
      <c r="R351" s="74"/>
      <c r="S351" s="73">
        <v>8.3000000000000004E-2</v>
      </c>
      <c r="T351" s="74"/>
    </row>
    <row r="352" spans="1:20" ht="11.25" customHeight="1" x14ac:dyDescent="0.25">
      <c r="A352" s="71" t="s">
        <v>80</v>
      </c>
      <c r="B352" s="76"/>
      <c r="C352" s="77">
        <v>12600000</v>
      </c>
      <c r="D352" s="76"/>
      <c r="E352" s="9">
        <v>14100000</v>
      </c>
      <c r="F352" s="90"/>
      <c r="G352" s="27">
        <v>10300</v>
      </c>
      <c r="I352" s="77">
        <v>4350000</v>
      </c>
      <c r="J352" s="76"/>
      <c r="K352" s="77">
        <v>119000</v>
      </c>
      <c r="L352" s="76"/>
      <c r="M352" s="27">
        <v>150000</v>
      </c>
      <c r="N352" s="90"/>
      <c r="O352" s="27">
        <v>69600</v>
      </c>
      <c r="P352" s="91"/>
      <c r="Q352" s="27">
        <v>46300</v>
      </c>
      <c r="R352" s="90"/>
      <c r="S352" s="27">
        <v>289000</v>
      </c>
      <c r="T352" s="90"/>
    </row>
    <row r="353" spans="1:20" ht="11.25" customHeight="1" x14ac:dyDescent="0.25">
      <c r="A353" s="188" t="s">
        <v>57</v>
      </c>
      <c r="B353" s="188"/>
      <c r="C353" s="188"/>
      <c r="D353" s="188"/>
      <c r="E353" s="188"/>
      <c r="F353" s="188"/>
      <c r="G353" s="188"/>
      <c r="H353" s="188"/>
      <c r="I353" s="188"/>
      <c r="J353" s="188"/>
      <c r="K353" s="188"/>
      <c r="L353" s="188"/>
      <c r="M353" s="188"/>
      <c r="N353" s="188"/>
      <c r="O353" s="188"/>
      <c r="P353" s="188"/>
      <c r="Q353" s="188"/>
      <c r="R353" s="188"/>
      <c r="S353" s="188"/>
      <c r="T353" s="188"/>
    </row>
    <row r="354" spans="1:20" ht="11.25" customHeight="1" x14ac:dyDescent="0.25">
      <c r="A354" s="40"/>
      <c r="B354" s="40"/>
      <c r="C354" s="40"/>
      <c r="D354" s="40"/>
      <c r="E354" s="40"/>
      <c r="F354" s="40"/>
      <c r="G354" s="40"/>
      <c r="H354" s="40"/>
      <c r="I354" s="92"/>
      <c r="J354" s="40"/>
      <c r="K354" s="40"/>
      <c r="L354" s="40"/>
      <c r="M354" s="40"/>
      <c r="N354" s="40"/>
      <c r="O354" s="40"/>
      <c r="P354" s="40"/>
      <c r="Q354" s="40"/>
      <c r="R354" s="40"/>
    </row>
    <row r="355" spans="1:20" ht="11.25" customHeight="1" x14ac:dyDescent="0.25">
      <c r="A355" s="40"/>
      <c r="B355" s="40"/>
      <c r="C355" s="40"/>
      <c r="D355" s="40"/>
      <c r="E355" s="40"/>
      <c r="F355" s="40"/>
      <c r="G355" s="40"/>
      <c r="H355" s="40"/>
      <c r="I355" s="40"/>
      <c r="J355" s="40"/>
      <c r="K355" s="40"/>
      <c r="L355" s="40"/>
      <c r="M355" s="40"/>
      <c r="N355" s="40"/>
      <c r="O355" s="40"/>
      <c r="P355" s="40"/>
      <c r="Q355" s="40"/>
      <c r="R355" s="40"/>
    </row>
    <row r="356" spans="1:20" ht="11.25" customHeight="1" x14ac:dyDescent="0.25">
      <c r="A356" s="40"/>
      <c r="B356" s="40"/>
      <c r="C356" s="40"/>
      <c r="D356" s="40"/>
      <c r="E356" s="40"/>
      <c r="F356" s="40"/>
      <c r="G356" s="40"/>
      <c r="H356" s="40"/>
      <c r="I356" s="40"/>
      <c r="J356" s="40"/>
      <c r="K356" s="40"/>
      <c r="L356" s="40"/>
      <c r="M356" s="40"/>
      <c r="N356" s="40"/>
      <c r="O356" s="40"/>
      <c r="P356" s="40"/>
      <c r="Q356" s="40"/>
      <c r="R356" s="40"/>
    </row>
    <row r="357" spans="1:20" ht="11.25" customHeight="1" x14ac:dyDescent="0.25">
      <c r="A357" s="40"/>
      <c r="B357" s="40"/>
      <c r="C357" s="40"/>
      <c r="D357" s="40"/>
      <c r="E357" s="40"/>
      <c r="F357" s="40"/>
      <c r="G357" s="40"/>
      <c r="H357" s="40"/>
      <c r="I357" s="40"/>
      <c r="J357" s="40"/>
      <c r="K357" s="40"/>
      <c r="L357" s="40"/>
      <c r="M357" s="40"/>
      <c r="N357" s="40"/>
      <c r="O357" s="40"/>
      <c r="P357" s="40"/>
      <c r="Q357" s="40"/>
      <c r="R357" s="40"/>
    </row>
    <row r="358" spans="1:20" ht="11.25" customHeight="1" x14ac:dyDescent="0.25">
      <c r="A358" s="40"/>
      <c r="B358" s="40"/>
    </row>
    <row r="359" spans="1:20" ht="11.25" customHeight="1" x14ac:dyDescent="0.25">
      <c r="A359" s="40"/>
      <c r="B359" s="40"/>
    </row>
    <row r="360" spans="1:20" ht="11.25" customHeight="1" x14ac:dyDescent="0.25">
      <c r="A360" s="40"/>
      <c r="B360" s="40"/>
      <c r="C360" s="40"/>
      <c r="D360" s="40"/>
      <c r="E360" s="40"/>
      <c r="F360" s="40"/>
      <c r="G360" s="40"/>
      <c r="H360" s="40"/>
      <c r="I360" s="40"/>
      <c r="J360" s="40"/>
      <c r="K360" s="40"/>
      <c r="L360" s="40"/>
      <c r="M360" s="40"/>
      <c r="N360" s="40"/>
      <c r="O360" s="40"/>
      <c r="P360" s="40"/>
      <c r="Q360" s="40"/>
      <c r="R360" s="40"/>
    </row>
    <row r="369" spans="1:20" ht="11.25" customHeight="1" x14ac:dyDescent="0.25">
      <c r="A369" s="183" t="s">
        <v>196</v>
      </c>
      <c r="B369" s="183"/>
      <c r="C369" s="183"/>
      <c r="D369" s="183"/>
      <c r="E369" s="183"/>
      <c r="F369" s="183"/>
      <c r="G369" s="183"/>
      <c r="H369" s="183"/>
      <c r="I369" s="183"/>
      <c r="J369" s="183"/>
      <c r="K369" s="183"/>
      <c r="L369" s="183"/>
      <c r="M369" s="183"/>
      <c r="N369" s="183"/>
      <c r="P369" s="13"/>
    </row>
    <row r="370" spans="1:20" ht="11.25" customHeight="1" x14ac:dyDescent="0.25">
      <c r="A370" s="183" t="s">
        <v>202</v>
      </c>
      <c r="B370" s="183"/>
      <c r="C370" s="183"/>
      <c r="D370" s="183"/>
      <c r="E370" s="183"/>
      <c r="F370" s="183"/>
      <c r="G370" s="183"/>
      <c r="H370" s="183"/>
      <c r="I370" s="183"/>
      <c r="J370" s="183"/>
      <c r="K370" s="183"/>
      <c r="L370" s="183"/>
      <c r="M370" s="183"/>
      <c r="N370" s="183"/>
      <c r="P370" s="13"/>
    </row>
    <row r="371" spans="1:20" ht="11.25" customHeight="1" x14ac:dyDescent="0.25">
      <c r="A371" s="183"/>
      <c r="B371" s="183"/>
      <c r="C371" s="183"/>
      <c r="D371" s="183"/>
      <c r="E371" s="183"/>
      <c r="F371" s="183"/>
      <c r="G371" s="183"/>
      <c r="H371" s="183"/>
      <c r="I371" s="183"/>
      <c r="J371" s="183"/>
      <c r="K371" s="183"/>
      <c r="L371" s="183"/>
      <c r="M371" s="183"/>
      <c r="N371" s="183"/>
      <c r="P371" s="13"/>
    </row>
    <row r="372" spans="1:20" ht="11.25" customHeight="1" x14ac:dyDescent="0.25">
      <c r="A372" s="183" t="s">
        <v>195</v>
      </c>
      <c r="B372" s="183"/>
      <c r="C372" s="183"/>
      <c r="D372" s="183"/>
      <c r="E372" s="183"/>
      <c r="F372" s="183"/>
      <c r="G372" s="183"/>
      <c r="H372" s="183"/>
      <c r="I372" s="183"/>
      <c r="J372" s="183"/>
      <c r="K372" s="183"/>
      <c r="L372" s="183"/>
      <c r="M372" s="183"/>
      <c r="N372" s="183"/>
      <c r="P372" s="13"/>
    </row>
    <row r="373" spans="1:20" ht="11.25" customHeight="1" x14ac:dyDescent="0.25">
      <c r="A373" s="189"/>
      <c r="B373" s="189"/>
      <c r="C373" s="189"/>
      <c r="D373" s="189"/>
      <c r="E373" s="189"/>
      <c r="F373" s="189"/>
      <c r="G373" s="189"/>
      <c r="H373" s="189"/>
      <c r="I373" s="189"/>
      <c r="J373" s="189"/>
      <c r="K373" s="189"/>
      <c r="L373" s="189"/>
      <c r="M373" s="189"/>
      <c r="N373" s="189"/>
      <c r="P373" s="13"/>
    </row>
    <row r="374" spans="1:20" ht="11.25" customHeight="1" x14ac:dyDescent="0.25">
      <c r="A374" s="63"/>
      <c r="B374" s="63"/>
      <c r="C374" s="185" t="s">
        <v>141</v>
      </c>
      <c r="D374" s="185"/>
      <c r="E374" s="185"/>
      <c r="F374" s="185"/>
      <c r="G374" s="185"/>
      <c r="H374" s="185"/>
      <c r="I374" s="185"/>
      <c r="J374" s="185"/>
      <c r="K374" s="185"/>
      <c r="L374" s="185"/>
      <c r="M374" s="185"/>
      <c r="N374" s="185"/>
    </row>
    <row r="375" spans="1:20" s="41" customFormat="1" ht="11.25" customHeight="1" x14ac:dyDescent="0.25">
      <c r="A375" s="14"/>
      <c r="B375" s="14"/>
      <c r="C375" s="14"/>
      <c r="D375" s="14"/>
      <c r="E375" s="14"/>
      <c r="F375" s="14"/>
      <c r="G375" s="14"/>
      <c r="H375" s="14"/>
      <c r="I375" s="48" t="s">
        <v>142</v>
      </c>
      <c r="J375" s="14"/>
      <c r="K375" s="48" t="s">
        <v>143</v>
      </c>
      <c r="L375" s="13"/>
      <c r="M375" s="48" t="s">
        <v>144</v>
      </c>
      <c r="N375" s="18"/>
      <c r="O375" s="14"/>
      <c r="P375" s="14"/>
      <c r="Q375" s="14"/>
      <c r="R375" s="14"/>
      <c r="S375" s="14"/>
      <c r="T375" s="14"/>
    </row>
    <row r="376" spans="1:20" s="41" customFormat="1" ht="11.25" customHeight="1" x14ac:dyDescent="0.25">
      <c r="A376" s="14"/>
      <c r="B376" s="14"/>
      <c r="C376" s="187" t="s">
        <v>145</v>
      </c>
      <c r="D376" s="187"/>
      <c r="E376" s="187"/>
      <c r="F376" s="187"/>
      <c r="G376" s="187"/>
      <c r="H376" s="14"/>
      <c r="I376" s="48" t="s">
        <v>146</v>
      </c>
      <c r="J376" s="14"/>
      <c r="K376" s="48" t="s">
        <v>147</v>
      </c>
      <c r="L376" s="13"/>
      <c r="M376" s="48" t="s">
        <v>148</v>
      </c>
      <c r="N376" s="18"/>
      <c r="O376" s="14"/>
      <c r="P376" s="14"/>
      <c r="Q376" s="14"/>
      <c r="R376" s="14"/>
      <c r="S376" s="14"/>
      <c r="T376" s="14"/>
    </row>
    <row r="377" spans="1:20" s="41" customFormat="1" ht="11.25" customHeight="1" x14ac:dyDescent="0.25">
      <c r="A377" s="12" t="s">
        <v>171</v>
      </c>
      <c r="B377" s="12"/>
      <c r="C377" s="50" t="s">
        <v>149</v>
      </c>
      <c r="D377" s="50"/>
      <c r="E377" s="50" t="s">
        <v>150</v>
      </c>
      <c r="F377" s="50"/>
      <c r="G377" s="50" t="s">
        <v>151</v>
      </c>
      <c r="H377" s="12"/>
      <c r="I377" s="50" t="s">
        <v>152</v>
      </c>
      <c r="J377" s="12"/>
      <c r="K377" s="50" t="s">
        <v>153</v>
      </c>
      <c r="L377" s="12"/>
      <c r="M377" s="50" t="s">
        <v>15</v>
      </c>
      <c r="N377" s="78"/>
      <c r="O377" s="14"/>
      <c r="P377" s="14"/>
      <c r="Q377" s="14"/>
      <c r="R377" s="14"/>
      <c r="S377" s="14"/>
      <c r="T377" s="14"/>
    </row>
    <row r="378" spans="1:20" ht="11.25" customHeight="1" x14ac:dyDescent="0.25">
      <c r="A378" s="64" t="s">
        <v>20</v>
      </c>
      <c r="C378" s="16" t="s">
        <v>21</v>
      </c>
      <c r="E378" s="16" t="s">
        <v>21</v>
      </c>
      <c r="F378" s="18"/>
      <c r="G378" s="5">
        <v>110</v>
      </c>
      <c r="H378" s="18"/>
      <c r="I378" s="6">
        <v>53</v>
      </c>
      <c r="J378" s="20"/>
      <c r="K378" s="5">
        <v>5220</v>
      </c>
      <c r="L378" s="18"/>
      <c r="M378" s="16" t="s">
        <v>21</v>
      </c>
      <c r="N378" s="20"/>
    </row>
    <row r="379" spans="1:20" ht="11.25" customHeight="1" x14ac:dyDescent="0.25">
      <c r="A379" s="53" t="s">
        <v>22</v>
      </c>
      <c r="C379" s="16" t="s">
        <v>21</v>
      </c>
      <c r="D379" s="20"/>
      <c r="E379" s="16" t="s">
        <v>21</v>
      </c>
      <c r="F379" s="18"/>
      <c r="G379" s="16" t="s">
        <v>21</v>
      </c>
      <c r="H379" s="18"/>
      <c r="I379" s="16" t="s">
        <v>21</v>
      </c>
      <c r="J379" s="20"/>
      <c r="K379" s="16" t="s">
        <v>21</v>
      </c>
      <c r="L379" s="18"/>
      <c r="M379" s="16" t="s">
        <v>21</v>
      </c>
      <c r="N379" s="20"/>
    </row>
    <row r="380" spans="1:20" ht="11.25" customHeight="1" x14ac:dyDescent="0.25">
      <c r="A380" s="53" t="s">
        <v>24</v>
      </c>
      <c r="C380" s="16" t="s">
        <v>21</v>
      </c>
      <c r="D380" s="20"/>
      <c r="E380" s="16" t="s">
        <v>21</v>
      </c>
      <c r="F380" s="18"/>
      <c r="G380" s="16" t="s">
        <v>21</v>
      </c>
      <c r="H380" s="18"/>
      <c r="I380" s="9">
        <v>654</v>
      </c>
      <c r="J380" s="20"/>
      <c r="K380" s="9">
        <v>4104</v>
      </c>
      <c r="L380" s="18"/>
      <c r="M380" s="16" t="s">
        <v>21</v>
      </c>
      <c r="N380" s="20"/>
    </row>
    <row r="381" spans="1:20" ht="11.25" customHeight="1" x14ac:dyDescent="0.25">
      <c r="A381" s="53" t="s">
        <v>25</v>
      </c>
      <c r="C381" s="16" t="s">
        <v>21</v>
      </c>
      <c r="D381" s="20"/>
      <c r="E381" s="16" t="s">
        <v>21</v>
      </c>
      <c r="F381" s="18"/>
      <c r="G381" s="16" t="s">
        <v>21</v>
      </c>
      <c r="H381" s="18"/>
      <c r="I381" s="5">
        <v>32574</v>
      </c>
      <c r="J381" s="20"/>
      <c r="K381" s="5">
        <v>252000</v>
      </c>
      <c r="L381" s="18"/>
      <c r="M381" s="16" t="s">
        <v>21</v>
      </c>
      <c r="N381" s="20"/>
    </row>
    <row r="382" spans="1:20" ht="11.25" customHeight="1" x14ac:dyDescent="0.2">
      <c r="A382" s="53" t="s">
        <v>26</v>
      </c>
      <c r="C382" s="16" t="s">
        <v>21</v>
      </c>
      <c r="D382" s="20"/>
      <c r="E382" s="16" t="s">
        <v>21</v>
      </c>
      <c r="F382" s="18"/>
      <c r="G382" s="16" t="s">
        <v>21</v>
      </c>
      <c r="H382" s="18"/>
      <c r="I382" s="5">
        <v>229</v>
      </c>
      <c r="J382" s="20"/>
      <c r="K382" s="35">
        <v>12700</v>
      </c>
      <c r="L382" s="18"/>
      <c r="M382" s="16" t="s">
        <v>21</v>
      </c>
      <c r="N382" s="20"/>
    </row>
    <row r="383" spans="1:20" ht="11.25" customHeight="1" x14ac:dyDescent="0.25">
      <c r="A383" s="53" t="s">
        <v>27</v>
      </c>
      <c r="C383" s="16" t="s">
        <v>21</v>
      </c>
      <c r="D383" s="20"/>
      <c r="E383" s="16" t="s">
        <v>21</v>
      </c>
      <c r="F383" s="18"/>
      <c r="G383" s="16" t="s">
        <v>21</v>
      </c>
      <c r="H383" s="18"/>
      <c r="I383" s="16" t="s">
        <v>21</v>
      </c>
      <c r="J383" s="20"/>
      <c r="K383" s="16" t="s">
        <v>21</v>
      </c>
      <c r="L383" s="18"/>
      <c r="M383" s="16" t="s">
        <v>21</v>
      </c>
      <c r="N383" s="20"/>
    </row>
    <row r="384" spans="1:20" ht="11.25" customHeight="1" x14ac:dyDescent="0.25">
      <c r="A384" s="53" t="s">
        <v>28</v>
      </c>
      <c r="C384" s="16" t="s">
        <v>21</v>
      </c>
      <c r="D384" s="20"/>
      <c r="E384" s="16" t="s">
        <v>21</v>
      </c>
      <c r="F384" s="18"/>
      <c r="G384" s="5">
        <v>6035</v>
      </c>
      <c r="H384" s="18"/>
      <c r="I384" s="16" t="s">
        <v>21</v>
      </c>
      <c r="J384" s="20"/>
      <c r="K384" s="16" t="s">
        <v>21</v>
      </c>
      <c r="L384" s="18"/>
      <c r="M384" s="16" t="s">
        <v>21</v>
      </c>
      <c r="N384" s="20"/>
    </row>
    <row r="385" spans="1:14" ht="11.25" customHeight="1" x14ac:dyDescent="0.25">
      <c r="A385" s="53" t="s">
        <v>29</v>
      </c>
      <c r="C385" s="16" t="s">
        <v>21</v>
      </c>
      <c r="D385" s="20"/>
      <c r="E385" s="16" t="s">
        <v>21</v>
      </c>
      <c r="F385" s="17"/>
      <c r="G385" s="5">
        <v>28300</v>
      </c>
      <c r="H385" s="18"/>
      <c r="I385" s="5">
        <v>29</v>
      </c>
      <c r="J385" s="20"/>
      <c r="K385" s="10" t="s">
        <v>94</v>
      </c>
      <c r="L385" s="18"/>
      <c r="M385" s="16" t="s">
        <v>21</v>
      </c>
      <c r="N385" s="20"/>
    </row>
    <row r="386" spans="1:14" ht="11.25" customHeight="1" x14ac:dyDescent="0.25">
      <c r="A386" s="53" t="s">
        <v>30</v>
      </c>
      <c r="C386" s="16" t="s">
        <v>21</v>
      </c>
      <c r="D386" s="20"/>
      <c r="E386" s="16" t="s">
        <v>21</v>
      </c>
      <c r="F386" s="18"/>
      <c r="G386" s="16" t="s">
        <v>21</v>
      </c>
      <c r="H386" s="18"/>
      <c r="I386" s="2">
        <v>2432</v>
      </c>
      <c r="J386" s="20"/>
      <c r="K386" s="1">
        <v>3990</v>
      </c>
      <c r="L386" s="18"/>
      <c r="M386" s="16" t="s">
        <v>21</v>
      </c>
      <c r="N386" s="20"/>
    </row>
    <row r="387" spans="1:14" ht="11.25" customHeight="1" x14ac:dyDescent="0.25">
      <c r="A387" s="53" t="s">
        <v>31</v>
      </c>
      <c r="C387" s="16" t="s">
        <v>21</v>
      </c>
      <c r="D387" s="20"/>
      <c r="E387" s="16" t="s">
        <v>21</v>
      </c>
      <c r="F387" s="18"/>
      <c r="G387" s="16" t="s">
        <v>21</v>
      </c>
      <c r="H387" s="18"/>
      <c r="I387" s="16" t="s">
        <v>21</v>
      </c>
      <c r="J387" s="20"/>
      <c r="K387" s="16" t="s">
        <v>21</v>
      </c>
      <c r="L387" s="18"/>
      <c r="M387" s="16" t="s">
        <v>21</v>
      </c>
      <c r="N387" s="20"/>
    </row>
    <row r="388" spans="1:14" ht="11.25" customHeight="1" x14ac:dyDescent="0.25">
      <c r="A388" s="53" t="s">
        <v>32</v>
      </c>
      <c r="C388" s="16" t="s">
        <v>21</v>
      </c>
      <c r="D388" s="20"/>
      <c r="E388" s="1">
        <v>950</v>
      </c>
      <c r="F388" s="18" t="s">
        <v>23</v>
      </c>
      <c r="G388" s="1">
        <v>29300</v>
      </c>
      <c r="H388" s="18"/>
      <c r="I388" s="16" t="s">
        <v>21</v>
      </c>
      <c r="J388" s="20"/>
      <c r="K388" s="1">
        <v>660</v>
      </c>
      <c r="L388" s="18" t="s">
        <v>23</v>
      </c>
      <c r="M388" s="16" t="s">
        <v>21</v>
      </c>
      <c r="N388" s="20"/>
    </row>
    <row r="389" spans="1:14" ht="11.25" customHeight="1" x14ac:dyDescent="0.25">
      <c r="A389" s="53" t="s">
        <v>33</v>
      </c>
      <c r="C389" s="16" t="s">
        <v>21</v>
      </c>
      <c r="D389" s="20"/>
      <c r="E389" s="16" t="s">
        <v>21</v>
      </c>
      <c r="F389" s="18"/>
      <c r="G389" s="16" t="s">
        <v>21</v>
      </c>
      <c r="H389" s="18"/>
      <c r="I389" s="6">
        <v>1322</v>
      </c>
      <c r="J389" s="20"/>
      <c r="K389" s="6">
        <v>24040</v>
      </c>
      <c r="L389" s="18"/>
      <c r="M389" s="16" t="s">
        <v>21</v>
      </c>
      <c r="N389" s="20"/>
    </row>
    <row r="390" spans="1:14" ht="11.25" customHeight="1" x14ac:dyDescent="0.25">
      <c r="A390" s="53" t="s">
        <v>34</v>
      </c>
      <c r="C390" s="16" t="s">
        <v>21</v>
      </c>
      <c r="D390" s="20"/>
      <c r="E390" s="16" t="s">
        <v>21</v>
      </c>
      <c r="F390" s="18"/>
      <c r="G390" s="16" t="s">
        <v>21</v>
      </c>
      <c r="H390" s="18"/>
      <c r="I390" s="16" t="s">
        <v>21</v>
      </c>
      <c r="J390" s="20"/>
      <c r="K390" s="16" t="s">
        <v>21</v>
      </c>
      <c r="L390" s="18"/>
      <c r="M390" s="16" t="s">
        <v>21</v>
      </c>
      <c r="N390" s="20"/>
    </row>
    <row r="391" spans="1:14" ht="11.25" customHeight="1" x14ac:dyDescent="0.25">
      <c r="A391" s="53" t="s">
        <v>35</v>
      </c>
      <c r="C391" s="16" t="s">
        <v>21</v>
      </c>
      <c r="D391" s="20"/>
      <c r="E391" s="16" t="s">
        <v>21</v>
      </c>
      <c r="F391" s="18"/>
      <c r="G391" s="16" t="s">
        <v>21</v>
      </c>
      <c r="H391" s="18"/>
      <c r="I391" s="16" t="s">
        <v>21</v>
      </c>
      <c r="J391" s="20"/>
      <c r="K391" s="16" t="s">
        <v>21</v>
      </c>
      <c r="L391" s="18"/>
      <c r="M391" s="16" t="s">
        <v>21</v>
      </c>
      <c r="N391" s="20"/>
    </row>
    <row r="392" spans="1:14" ht="11.25" customHeight="1" x14ac:dyDescent="0.25">
      <c r="A392" s="53" t="s">
        <v>36</v>
      </c>
      <c r="C392" s="16" t="s">
        <v>21</v>
      </c>
      <c r="D392" s="20"/>
      <c r="E392" s="16" t="s">
        <v>21</v>
      </c>
      <c r="F392" s="18"/>
      <c r="G392" s="16" t="s">
        <v>21</v>
      </c>
      <c r="H392" s="18"/>
      <c r="I392" s="10" t="s">
        <v>94</v>
      </c>
      <c r="J392" s="20"/>
      <c r="K392" s="5">
        <v>4757</v>
      </c>
      <c r="L392" s="18"/>
      <c r="M392" s="16" t="s">
        <v>21</v>
      </c>
      <c r="N392" s="20"/>
    </row>
    <row r="393" spans="1:14" ht="11.25" customHeight="1" x14ac:dyDescent="0.2">
      <c r="A393" s="53" t="s">
        <v>37</v>
      </c>
      <c r="C393" s="16" t="s">
        <v>21</v>
      </c>
      <c r="D393" s="20"/>
      <c r="E393" s="65">
        <v>148</v>
      </c>
      <c r="F393" s="17"/>
      <c r="G393" s="16" t="s">
        <v>21</v>
      </c>
      <c r="H393" s="18"/>
      <c r="I393" s="6">
        <v>15</v>
      </c>
      <c r="J393" s="20"/>
      <c r="K393" s="6">
        <v>326</v>
      </c>
      <c r="L393" s="18"/>
      <c r="M393" s="16" t="s">
        <v>21</v>
      </c>
      <c r="N393" s="20"/>
    </row>
    <row r="394" spans="1:14" ht="11.25" customHeight="1" x14ac:dyDescent="0.25">
      <c r="A394" s="53" t="s">
        <v>38</v>
      </c>
      <c r="C394" s="16" t="s">
        <v>21</v>
      </c>
      <c r="D394" s="20"/>
      <c r="E394" s="16" t="s">
        <v>21</v>
      </c>
      <c r="F394" s="18"/>
      <c r="G394" s="5">
        <v>126257</v>
      </c>
      <c r="H394" s="16"/>
      <c r="I394" s="5">
        <v>5160</v>
      </c>
      <c r="J394" s="20"/>
      <c r="K394" s="5">
        <v>13112</v>
      </c>
      <c r="L394" s="18"/>
      <c r="M394" s="16" t="s">
        <v>21</v>
      </c>
      <c r="N394" s="20"/>
    </row>
    <row r="395" spans="1:14" ht="11.25" customHeight="1" x14ac:dyDescent="0.25">
      <c r="A395" s="53" t="s">
        <v>39</v>
      </c>
      <c r="C395" s="16" t="s">
        <v>21</v>
      </c>
      <c r="D395" s="20"/>
      <c r="E395" s="16" t="s">
        <v>21</v>
      </c>
      <c r="F395" s="18"/>
      <c r="G395" s="5">
        <v>12100</v>
      </c>
      <c r="H395" s="18"/>
      <c r="I395" s="6">
        <v>6</v>
      </c>
      <c r="J395" s="20" t="s">
        <v>23</v>
      </c>
      <c r="K395" s="5">
        <v>550</v>
      </c>
      <c r="L395" s="18"/>
      <c r="M395" s="16" t="s">
        <v>21</v>
      </c>
      <c r="N395" s="20"/>
    </row>
    <row r="396" spans="1:14" ht="11.25" customHeight="1" x14ac:dyDescent="0.25">
      <c r="A396" s="53" t="s">
        <v>40</v>
      </c>
      <c r="C396" s="16" t="s">
        <v>21</v>
      </c>
      <c r="D396" s="20"/>
      <c r="E396" s="16" t="s">
        <v>21</v>
      </c>
      <c r="F396" s="18"/>
      <c r="G396" s="5">
        <v>4987</v>
      </c>
      <c r="H396" s="18"/>
      <c r="I396" s="5">
        <v>1128</v>
      </c>
      <c r="J396" s="20"/>
      <c r="K396" s="5">
        <v>6700</v>
      </c>
      <c r="L396" s="18" t="s">
        <v>23</v>
      </c>
      <c r="M396" s="16" t="s">
        <v>21</v>
      </c>
      <c r="N396" s="20"/>
    </row>
    <row r="397" spans="1:14" ht="11.25" customHeight="1" x14ac:dyDescent="0.25">
      <c r="A397" s="53" t="s">
        <v>41</v>
      </c>
      <c r="C397" s="16" t="s">
        <v>21</v>
      </c>
      <c r="D397" s="20"/>
      <c r="E397" s="16" t="s">
        <v>21</v>
      </c>
      <c r="F397" s="18"/>
      <c r="G397" s="16" t="s">
        <v>21</v>
      </c>
      <c r="H397" s="18"/>
      <c r="I397" s="16" t="s">
        <v>21</v>
      </c>
      <c r="J397" s="20"/>
      <c r="K397" s="16" t="s">
        <v>21</v>
      </c>
      <c r="L397" s="18"/>
      <c r="M397" s="16" t="s">
        <v>21</v>
      </c>
      <c r="N397" s="20"/>
    </row>
    <row r="398" spans="1:14" ht="11.25" customHeight="1" x14ac:dyDescent="0.25">
      <c r="A398" s="53" t="s">
        <v>42</v>
      </c>
      <c r="C398" s="16" t="s">
        <v>21</v>
      </c>
      <c r="D398" s="20"/>
      <c r="E398" s="16" t="s">
        <v>21</v>
      </c>
      <c r="F398" s="18"/>
      <c r="G398" s="16" t="s">
        <v>21</v>
      </c>
      <c r="H398" s="18"/>
      <c r="I398" s="5">
        <v>1529</v>
      </c>
      <c r="J398" s="20"/>
      <c r="K398" s="16" t="s">
        <v>21</v>
      </c>
      <c r="L398" s="18"/>
      <c r="M398" s="16" t="s">
        <v>21</v>
      </c>
      <c r="N398" s="20"/>
    </row>
    <row r="399" spans="1:14" ht="11.25" customHeight="1" x14ac:dyDescent="0.25">
      <c r="A399" s="53" t="s">
        <v>43</v>
      </c>
      <c r="C399" s="16" t="s">
        <v>21</v>
      </c>
      <c r="D399" s="20"/>
      <c r="E399" s="16" t="s">
        <v>21</v>
      </c>
      <c r="F399" s="18"/>
      <c r="G399" s="16" t="s">
        <v>21</v>
      </c>
      <c r="H399" s="18"/>
      <c r="I399" s="5">
        <v>3180</v>
      </c>
      <c r="J399" s="20"/>
      <c r="K399" s="5">
        <v>36644</v>
      </c>
      <c r="L399" s="18"/>
      <c r="M399" s="16" t="s">
        <v>21</v>
      </c>
      <c r="N399" s="20"/>
    </row>
    <row r="400" spans="1:14" ht="11.25" customHeight="1" x14ac:dyDescent="0.2">
      <c r="A400" s="53" t="s">
        <v>44</v>
      </c>
      <c r="C400" s="16" t="s">
        <v>21</v>
      </c>
      <c r="D400" s="9"/>
      <c r="E400" s="35">
        <v>107246</v>
      </c>
      <c r="F400" s="9"/>
      <c r="G400" s="65">
        <v>4829</v>
      </c>
      <c r="H400" s="9"/>
      <c r="I400" s="35">
        <v>32671</v>
      </c>
      <c r="J400" s="9"/>
      <c r="K400" s="9">
        <v>624000</v>
      </c>
      <c r="L400" s="9"/>
      <c r="M400" s="35">
        <v>21819</v>
      </c>
      <c r="N400" s="9"/>
    </row>
    <row r="401" spans="1:18" ht="11.25" customHeight="1" x14ac:dyDescent="0.2">
      <c r="A401" s="53" t="s">
        <v>45</v>
      </c>
      <c r="C401" s="16" t="s">
        <v>21</v>
      </c>
      <c r="D401" s="20"/>
      <c r="E401" s="16" t="s">
        <v>21</v>
      </c>
      <c r="F401" s="18"/>
      <c r="G401" s="35">
        <v>8535</v>
      </c>
      <c r="H401" s="18"/>
      <c r="I401" s="16" t="s">
        <v>21</v>
      </c>
      <c r="J401" s="20"/>
      <c r="K401" s="16" t="s">
        <v>21</v>
      </c>
      <c r="L401" s="18"/>
      <c r="M401" s="16" t="s">
        <v>21</v>
      </c>
      <c r="N401" s="20"/>
    </row>
    <row r="402" spans="1:18" ht="11.25" customHeight="1" x14ac:dyDescent="0.25">
      <c r="A402" s="53" t="s">
        <v>46</v>
      </c>
      <c r="C402" s="16" t="s">
        <v>21</v>
      </c>
      <c r="D402" s="20"/>
      <c r="E402" s="5">
        <v>572</v>
      </c>
      <c r="F402" s="18"/>
      <c r="G402" s="5">
        <v>2418</v>
      </c>
      <c r="H402" s="18"/>
      <c r="I402" s="5">
        <v>22</v>
      </c>
      <c r="J402" s="20"/>
      <c r="K402" s="5">
        <v>2000</v>
      </c>
      <c r="L402" s="18"/>
      <c r="M402" s="16" t="s">
        <v>21</v>
      </c>
      <c r="N402" s="20"/>
    </row>
    <row r="403" spans="1:18" ht="11.25" customHeight="1" x14ac:dyDescent="0.25">
      <c r="A403" s="53" t="s">
        <v>47</v>
      </c>
      <c r="C403" s="16" t="s">
        <v>21</v>
      </c>
      <c r="D403" s="20"/>
      <c r="E403" s="16" t="s">
        <v>21</v>
      </c>
      <c r="F403" s="18"/>
      <c r="G403" s="16" t="s">
        <v>21</v>
      </c>
      <c r="H403" s="18"/>
      <c r="I403" s="16" t="s">
        <v>21</v>
      </c>
      <c r="J403" s="20"/>
      <c r="K403" s="16" t="s">
        <v>21</v>
      </c>
      <c r="L403" s="18"/>
      <c r="M403" s="16" t="s">
        <v>21</v>
      </c>
      <c r="N403" s="20"/>
    </row>
    <row r="404" spans="1:18" ht="11.25" customHeight="1" x14ac:dyDescent="0.25">
      <c r="A404" s="53" t="s">
        <v>48</v>
      </c>
      <c r="C404" s="16" t="s">
        <v>21</v>
      </c>
      <c r="D404" s="20"/>
      <c r="E404" s="16" t="s">
        <v>21</v>
      </c>
      <c r="F404" s="18"/>
      <c r="G404" s="16" t="s">
        <v>21</v>
      </c>
      <c r="H404" s="18"/>
      <c r="I404" s="16" t="s">
        <v>21</v>
      </c>
      <c r="J404" s="20"/>
      <c r="K404" s="5">
        <v>213</v>
      </c>
      <c r="L404" s="18"/>
      <c r="M404" s="16" t="s">
        <v>21</v>
      </c>
      <c r="N404" s="20"/>
    </row>
    <row r="405" spans="1:18" ht="11.25" customHeight="1" x14ac:dyDescent="0.25">
      <c r="A405" s="53" t="s">
        <v>49</v>
      </c>
      <c r="C405" s="16" t="s">
        <v>21</v>
      </c>
      <c r="D405" s="20"/>
      <c r="E405" s="16" t="s">
        <v>21</v>
      </c>
      <c r="F405" s="18"/>
      <c r="G405" s="16" t="s">
        <v>21</v>
      </c>
      <c r="H405" s="18"/>
      <c r="I405" s="16" t="s">
        <v>21</v>
      </c>
      <c r="J405" s="20"/>
      <c r="K405" s="16" t="s">
        <v>21</v>
      </c>
      <c r="L405" s="18"/>
      <c r="M405" s="16" t="s">
        <v>21</v>
      </c>
      <c r="N405" s="20"/>
    </row>
    <row r="406" spans="1:18" ht="11.25" customHeight="1" x14ac:dyDescent="0.25">
      <c r="A406" s="53" t="s">
        <v>50</v>
      </c>
      <c r="C406" s="16" t="s">
        <v>21</v>
      </c>
      <c r="D406" s="20"/>
      <c r="E406" s="16" t="s">
        <v>21</v>
      </c>
      <c r="F406" s="18"/>
      <c r="G406" s="16" t="s">
        <v>21</v>
      </c>
      <c r="H406" s="18"/>
      <c r="I406" s="16" t="s">
        <v>21</v>
      </c>
      <c r="J406" s="20"/>
      <c r="K406" s="16" t="s">
        <v>21</v>
      </c>
      <c r="L406" s="18"/>
      <c r="M406" s="16" t="s">
        <v>21</v>
      </c>
      <c r="N406" s="20"/>
    </row>
    <row r="407" spans="1:18" ht="11.25" customHeight="1" x14ac:dyDescent="0.25">
      <c r="A407" s="53" t="s">
        <v>51</v>
      </c>
      <c r="C407" s="16" t="s">
        <v>21</v>
      </c>
      <c r="D407" s="20"/>
      <c r="E407" s="16" t="s">
        <v>21</v>
      </c>
      <c r="F407" s="18"/>
      <c r="G407" s="16" t="s">
        <v>21</v>
      </c>
      <c r="H407" s="18"/>
      <c r="I407" s="16" t="s">
        <v>21</v>
      </c>
      <c r="J407" s="20"/>
      <c r="K407" s="16" t="s">
        <v>21</v>
      </c>
      <c r="L407" s="18"/>
      <c r="M407" s="16" t="s">
        <v>21</v>
      </c>
      <c r="N407" s="20"/>
    </row>
    <row r="408" spans="1:18" ht="11.25" customHeight="1" x14ac:dyDescent="0.25">
      <c r="A408" s="53" t="s">
        <v>52</v>
      </c>
      <c r="C408" s="16" t="s">
        <v>21</v>
      </c>
      <c r="D408" s="20"/>
      <c r="E408" s="16" t="s">
        <v>21</v>
      </c>
      <c r="F408" s="18"/>
      <c r="G408" s="5">
        <v>1549</v>
      </c>
      <c r="H408" s="18"/>
      <c r="I408" s="16" t="s">
        <v>21</v>
      </c>
      <c r="J408" s="20"/>
      <c r="K408" s="16" t="s">
        <v>21</v>
      </c>
      <c r="L408" s="18"/>
      <c r="M408" s="16" t="s">
        <v>21</v>
      </c>
      <c r="N408" s="20"/>
    </row>
    <row r="409" spans="1:18" ht="11.25" customHeight="1" x14ac:dyDescent="0.25">
      <c r="A409" s="53" t="s">
        <v>53</v>
      </c>
      <c r="C409" s="16" t="s">
        <v>21</v>
      </c>
      <c r="D409" s="20"/>
      <c r="E409" s="16" t="s">
        <v>21</v>
      </c>
      <c r="F409" s="18"/>
      <c r="G409" s="16" t="s">
        <v>21</v>
      </c>
      <c r="H409" s="18"/>
      <c r="I409" s="5">
        <v>19100</v>
      </c>
      <c r="J409" s="20"/>
      <c r="K409" s="5">
        <v>5569</v>
      </c>
      <c r="L409" s="18"/>
      <c r="M409" s="16" t="s">
        <v>21</v>
      </c>
      <c r="N409" s="20"/>
    </row>
    <row r="410" spans="1:18" ht="11.25" customHeight="1" x14ac:dyDescent="0.25">
      <c r="A410" s="53" t="s">
        <v>54</v>
      </c>
      <c r="C410" s="16" t="s">
        <v>21</v>
      </c>
      <c r="D410" s="20"/>
      <c r="E410" s="16" t="s">
        <v>21</v>
      </c>
      <c r="F410" s="18"/>
      <c r="G410" s="6">
        <v>4800</v>
      </c>
      <c r="H410" s="18" t="s">
        <v>23</v>
      </c>
      <c r="I410" s="16" t="s">
        <v>21</v>
      </c>
      <c r="J410" s="20"/>
      <c r="K410" s="16" t="s">
        <v>21</v>
      </c>
      <c r="L410" s="18"/>
      <c r="M410" s="16" t="s">
        <v>21</v>
      </c>
      <c r="N410" s="20"/>
    </row>
    <row r="411" spans="1:18" ht="11.25" customHeight="1" x14ac:dyDescent="0.25">
      <c r="A411" s="53" t="s">
        <v>55</v>
      </c>
      <c r="C411" s="16" t="s">
        <v>21</v>
      </c>
      <c r="D411" s="20"/>
      <c r="E411" s="5">
        <v>113</v>
      </c>
      <c r="F411" s="17"/>
      <c r="G411" s="16" t="s">
        <v>21</v>
      </c>
      <c r="H411" s="18"/>
      <c r="I411" s="5">
        <v>115000</v>
      </c>
      <c r="J411" s="20"/>
      <c r="K411" s="5">
        <v>648240</v>
      </c>
      <c r="L411" s="18"/>
      <c r="M411" s="16" t="s">
        <v>21</v>
      </c>
      <c r="N411" s="20"/>
    </row>
    <row r="412" spans="1:18" ht="11.25" customHeight="1" x14ac:dyDescent="0.2">
      <c r="A412" s="53" t="s">
        <v>56</v>
      </c>
      <c r="C412" s="16" t="s">
        <v>21</v>
      </c>
      <c r="D412" s="20"/>
      <c r="E412" s="93">
        <v>42700</v>
      </c>
      <c r="F412" s="18" t="s">
        <v>23</v>
      </c>
      <c r="G412" s="6">
        <v>52356</v>
      </c>
      <c r="H412" s="18"/>
      <c r="I412" s="5">
        <v>5274</v>
      </c>
      <c r="J412" s="20"/>
      <c r="K412" s="5">
        <v>6510</v>
      </c>
      <c r="L412" s="18"/>
      <c r="M412" s="16" t="s">
        <v>21</v>
      </c>
      <c r="N412" s="20"/>
    </row>
    <row r="413" spans="1:18" ht="11.25" customHeight="1" x14ac:dyDescent="0.25">
      <c r="A413" s="188" t="s">
        <v>57</v>
      </c>
      <c r="B413" s="188"/>
      <c r="C413" s="188"/>
      <c r="D413" s="188"/>
      <c r="E413" s="188"/>
      <c r="F413" s="188"/>
      <c r="G413" s="188"/>
      <c r="H413" s="188"/>
      <c r="I413" s="188"/>
      <c r="J413" s="188"/>
      <c r="K413" s="188"/>
      <c r="L413" s="188"/>
      <c r="M413" s="188"/>
      <c r="N413" s="188"/>
      <c r="P413" s="13"/>
    </row>
    <row r="414" spans="1:18" ht="11.25" customHeight="1" x14ac:dyDescent="0.25">
      <c r="A414" s="40"/>
      <c r="B414" s="40"/>
      <c r="C414" s="40"/>
      <c r="D414" s="40"/>
      <c r="E414" s="40"/>
      <c r="F414" s="40"/>
      <c r="G414" s="40"/>
      <c r="H414" s="40"/>
      <c r="I414" s="40"/>
      <c r="J414" s="40"/>
      <c r="K414" s="40"/>
      <c r="L414" s="40"/>
      <c r="M414" s="40"/>
      <c r="N414" s="40"/>
      <c r="O414" s="40"/>
      <c r="P414" s="40"/>
      <c r="Q414" s="40"/>
      <c r="R414" s="40"/>
    </row>
    <row r="415" spans="1:18" ht="11.25" customHeight="1" x14ac:dyDescent="0.25">
      <c r="A415" s="183" t="s">
        <v>196</v>
      </c>
      <c r="B415" s="183"/>
      <c r="C415" s="183"/>
      <c r="D415" s="183"/>
      <c r="E415" s="183"/>
      <c r="F415" s="183"/>
      <c r="G415" s="183"/>
      <c r="H415" s="183"/>
      <c r="I415" s="183"/>
      <c r="J415" s="183"/>
      <c r="K415" s="183"/>
      <c r="L415" s="183"/>
      <c r="M415" s="183"/>
      <c r="N415" s="183"/>
      <c r="P415" s="13"/>
    </row>
    <row r="416" spans="1:18" ht="11.25" customHeight="1" x14ac:dyDescent="0.25">
      <c r="A416" s="183" t="s">
        <v>202</v>
      </c>
      <c r="B416" s="183"/>
      <c r="C416" s="183"/>
      <c r="D416" s="183"/>
      <c r="E416" s="183"/>
      <c r="F416" s="183"/>
      <c r="G416" s="183"/>
      <c r="H416" s="183"/>
      <c r="I416" s="183"/>
      <c r="J416" s="183"/>
      <c r="K416" s="183"/>
      <c r="L416" s="183"/>
      <c r="M416" s="183"/>
      <c r="N416" s="183"/>
      <c r="P416" s="13"/>
    </row>
    <row r="417" spans="1:20" ht="11.25" customHeight="1" x14ac:dyDescent="0.25">
      <c r="A417" s="183"/>
      <c r="B417" s="183"/>
      <c r="C417" s="183"/>
      <c r="D417" s="183"/>
      <c r="E417" s="183"/>
      <c r="F417" s="183"/>
      <c r="G417" s="183"/>
      <c r="H417" s="183"/>
      <c r="I417" s="183"/>
      <c r="J417" s="183"/>
      <c r="K417" s="183"/>
      <c r="L417" s="183"/>
      <c r="M417" s="183"/>
      <c r="N417" s="183"/>
      <c r="P417" s="13"/>
    </row>
    <row r="418" spans="1:20" ht="11.25" customHeight="1" x14ac:dyDescent="0.25">
      <c r="A418" s="183" t="s">
        <v>195</v>
      </c>
      <c r="B418" s="183"/>
      <c r="C418" s="183"/>
      <c r="D418" s="183"/>
      <c r="E418" s="183"/>
      <c r="F418" s="183"/>
      <c r="G418" s="183"/>
      <c r="H418" s="183"/>
      <c r="I418" s="183"/>
      <c r="J418" s="183"/>
      <c r="K418" s="183"/>
      <c r="L418" s="183"/>
      <c r="M418" s="183"/>
      <c r="N418" s="183"/>
      <c r="P418" s="13"/>
    </row>
    <row r="419" spans="1:20" ht="11.25" customHeight="1" x14ac:dyDescent="0.25">
      <c r="A419" s="184"/>
      <c r="B419" s="184"/>
      <c r="C419" s="184"/>
      <c r="D419" s="184"/>
      <c r="E419" s="184"/>
      <c r="F419" s="184"/>
      <c r="G419" s="184"/>
      <c r="H419" s="184"/>
      <c r="I419" s="184"/>
      <c r="J419" s="184"/>
      <c r="K419" s="184"/>
      <c r="L419" s="184"/>
      <c r="M419" s="184"/>
      <c r="N419" s="184"/>
      <c r="P419" s="13"/>
    </row>
    <row r="420" spans="1:20" ht="11.25" customHeight="1" x14ac:dyDescent="0.25">
      <c r="A420" s="63"/>
      <c r="B420" s="63"/>
      <c r="C420" s="185" t="s">
        <v>141</v>
      </c>
      <c r="D420" s="185"/>
      <c r="E420" s="185"/>
      <c r="F420" s="185"/>
      <c r="G420" s="185"/>
      <c r="H420" s="185"/>
      <c r="I420" s="185"/>
      <c r="J420" s="185"/>
      <c r="K420" s="185"/>
      <c r="L420" s="185"/>
      <c r="M420" s="185"/>
      <c r="N420" s="185"/>
    </row>
    <row r="421" spans="1:20" s="41" customFormat="1" ht="11.25" customHeight="1" x14ac:dyDescent="0.25">
      <c r="A421" s="14"/>
      <c r="B421" s="14"/>
      <c r="C421" s="14"/>
      <c r="D421" s="14"/>
      <c r="E421" s="14"/>
      <c r="F421" s="14"/>
      <c r="G421" s="14"/>
      <c r="H421" s="14"/>
      <c r="I421" s="48"/>
      <c r="J421" s="14"/>
      <c r="K421" s="48" t="s">
        <v>143</v>
      </c>
      <c r="L421" s="13"/>
      <c r="M421" s="48" t="s">
        <v>144</v>
      </c>
      <c r="N421" s="18"/>
      <c r="O421" s="14"/>
      <c r="P421" s="14"/>
      <c r="Q421" s="14"/>
      <c r="R421" s="14"/>
      <c r="S421" s="14"/>
      <c r="T421" s="14"/>
    </row>
    <row r="422" spans="1:20" s="41" customFormat="1" ht="11.25" customHeight="1" x14ac:dyDescent="0.25">
      <c r="A422" s="14"/>
      <c r="B422" s="14"/>
      <c r="C422" s="186"/>
      <c r="D422" s="186"/>
      <c r="E422" s="186"/>
      <c r="F422" s="186"/>
      <c r="G422" s="186"/>
      <c r="H422" s="14"/>
      <c r="I422" s="48" t="s">
        <v>142</v>
      </c>
      <c r="J422" s="14"/>
      <c r="K422" s="48" t="s">
        <v>199</v>
      </c>
      <c r="L422" s="13"/>
      <c r="M422" s="48" t="s">
        <v>148</v>
      </c>
      <c r="N422" s="18"/>
      <c r="O422" s="14"/>
      <c r="P422" s="14"/>
      <c r="Q422" s="14"/>
      <c r="R422" s="14"/>
      <c r="S422" s="14"/>
      <c r="T422" s="14"/>
    </row>
    <row r="423" spans="1:20" s="41" customFormat="1" ht="11.25" customHeight="1" x14ac:dyDescent="0.25">
      <c r="A423" s="14"/>
      <c r="B423" s="14"/>
      <c r="C423" s="187" t="s">
        <v>145</v>
      </c>
      <c r="D423" s="187"/>
      <c r="E423" s="187"/>
      <c r="F423" s="187"/>
      <c r="G423" s="187"/>
      <c r="H423" s="14"/>
      <c r="I423" s="48" t="s">
        <v>146</v>
      </c>
      <c r="J423" s="14"/>
      <c r="K423" s="48" t="s">
        <v>200</v>
      </c>
      <c r="L423" s="13"/>
      <c r="M423" s="48"/>
      <c r="N423" s="18"/>
      <c r="O423" s="14"/>
      <c r="P423" s="14"/>
      <c r="Q423" s="14"/>
      <c r="R423" s="14"/>
      <c r="S423" s="14"/>
      <c r="T423" s="14"/>
    </row>
    <row r="424" spans="1:20" s="41" customFormat="1" ht="11.25" customHeight="1" x14ac:dyDescent="0.25">
      <c r="A424" s="12" t="s">
        <v>171</v>
      </c>
      <c r="B424" s="12"/>
      <c r="C424" s="50" t="s">
        <v>149</v>
      </c>
      <c r="D424" s="50"/>
      <c r="E424" s="50" t="s">
        <v>150</v>
      </c>
      <c r="F424" s="50"/>
      <c r="G424" s="50" t="s">
        <v>151</v>
      </c>
      <c r="H424" s="12"/>
      <c r="I424" s="50" t="s">
        <v>152</v>
      </c>
      <c r="J424" s="12"/>
      <c r="K424" s="50" t="s">
        <v>153</v>
      </c>
      <c r="L424" s="76"/>
      <c r="M424" s="50" t="s">
        <v>15</v>
      </c>
      <c r="N424" s="78"/>
      <c r="O424" s="14"/>
      <c r="P424" s="14"/>
      <c r="Q424" s="14"/>
      <c r="R424" s="14"/>
      <c r="S424" s="14"/>
      <c r="T424" s="14"/>
    </row>
    <row r="425" spans="1:20" ht="11.25" customHeight="1" x14ac:dyDescent="0.25">
      <c r="A425" s="53" t="s">
        <v>58</v>
      </c>
      <c r="C425" s="16" t="s">
        <v>21</v>
      </c>
      <c r="D425" s="20"/>
      <c r="E425" s="16" t="s">
        <v>21</v>
      </c>
      <c r="F425" s="18"/>
      <c r="G425" s="16" t="s">
        <v>21</v>
      </c>
      <c r="H425" s="18"/>
      <c r="I425" s="16" t="s">
        <v>21</v>
      </c>
      <c r="J425" s="20"/>
      <c r="K425" s="16" t="s">
        <v>21</v>
      </c>
      <c r="L425" s="18"/>
      <c r="M425" s="16" t="s">
        <v>21</v>
      </c>
      <c r="N425" s="20"/>
    </row>
    <row r="426" spans="1:20" ht="11.25" customHeight="1" x14ac:dyDescent="0.25">
      <c r="A426" s="53" t="s">
        <v>59</v>
      </c>
      <c r="C426" s="16" t="s">
        <v>21</v>
      </c>
      <c r="D426" s="20"/>
      <c r="E426" s="16" t="s">
        <v>21</v>
      </c>
      <c r="F426" s="18"/>
      <c r="G426" s="5">
        <v>17733</v>
      </c>
      <c r="H426" s="18"/>
      <c r="I426" s="5">
        <v>8919</v>
      </c>
      <c r="J426" s="20"/>
      <c r="K426" s="5">
        <v>24300</v>
      </c>
      <c r="L426" s="18"/>
      <c r="M426" s="16" t="s">
        <v>21</v>
      </c>
      <c r="N426" s="20"/>
    </row>
    <row r="427" spans="1:20" ht="11.25" customHeight="1" x14ac:dyDescent="0.25">
      <c r="A427" s="53" t="s">
        <v>60</v>
      </c>
      <c r="C427" s="5">
        <v>25300</v>
      </c>
      <c r="D427" s="20"/>
      <c r="E427" s="5">
        <v>360000</v>
      </c>
      <c r="F427" s="18"/>
      <c r="G427" s="5">
        <v>74700</v>
      </c>
      <c r="H427" s="18"/>
      <c r="I427" s="5">
        <v>762300</v>
      </c>
      <c r="J427" s="20"/>
      <c r="K427" s="5">
        <v>3822000</v>
      </c>
      <c r="L427" s="18"/>
      <c r="M427" s="5">
        <v>2600</v>
      </c>
      <c r="N427" s="20"/>
    </row>
    <row r="428" spans="1:20" ht="11.25" customHeight="1" x14ac:dyDescent="0.25">
      <c r="A428" s="53" t="s">
        <v>61</v>
      </c>
      <c r="C428" s="16" t="s">
        <v>21</v>
      </c>
      <c r="D428" s="20"/>
      <c r="E428" s="2">
        <v>26</v>
      </c>
      <c r="F428" s="17"/>
      <c r="G428" s="5">
        <v>36389</v>
      </c>
      <c r="H428" s="18"/>
      <c r="I428" s="6">
        <v>401</v>
      </c>
      <c r="J428" s="20"/>
      <c r="K428" s="5">
        <v>5900</v>
      </c>
      <c r="L428" s="18"/>
      <c r="M428" s="16" t="s">
        <v>21</v>
      </c>
      <c r="N428" s="20"/>
    </row>
    <row r="429" spans="1:20" ht="11.25" customHeight="1" x14ac:dyDescent="0.2">
      <c r="A429" s="53" t="s">
        <v>63</v>
      </c>
      <c r="C429" s="65" t="s">
        <v>21</v>
      </c>
      <c r="D429" s="20"/>
      <c r="E429" s="16"/>
      <c r="F429" s="18"/>
      <c r="G429" s="65">
        <v>1074</v>
      </c>
      <c r="H429" s="18"/>
      <c r="I429" s="5">
        <v>65</v>
      </c>
      <c r="J429" s="20" t="s">
        <v>23</v>
      </c>
      <c r="K429" s="5">
        <v>22</v>
      </c>
      <c r="L429" s="18" t="s">
        <v>23</v>
      </c>
      <c r="M429" s="16" t="s">
        <v>21</v>
      </c>
      <c r="N429" s="20"/>
    </row>
    <row r="430" spans="1:20" ht="11.25" customHeight="1" x14ac:dyDescent="0.25">
      <c r="A430" s="53" t="s">
        <v>65</v>
      </c>
      <c r="C430" s="16" t="s">
        <v>21</v>
      </c>
      <c r="D430" s="20"/>
      <c r="E430" s="16" t="s">
        <v>21</v>
      </c>
      <c r="F430" s="18"/>
      <c r="G430" s="5">
        <v>2807</v>
      </c>
      <c r="H430" s="18"/>
      <c r="I430" s="5">
        <v>5</v>
      </c>
      <c r="J430" s="20"/>
      <c r="K430" s="5">
        <v>1</v>
      </c>
      <c r="L430" s="18"/>
      <c r="M430" s="16" t="s">
        <v>21</v>
      </c>
      <c r="N430" s="20"/>
    </row>
    <row r="431" spans="1:20" ht="11.25" customHeight="1" x14ac:dyDescent="0.25">
      <c r="A431" s="53" t="s">
        <v>66</v>
      </c>
      <c r="C431" s="16" t="s">
        <v>21</v>
      </c>
      <c r="D431" s="19" t="s">
        <v>23</v>
      </c>
      <c r="E431" s="16" t="s">
        <v>21</v>
      </c>
      <c r="F431" s="17" t="s">
        <v>23</v>
      </c>
      <c r="G431" s="16" t="s">
        <v>21</v>
      </c>
      <c r="H431" s="18"/>
      <c r="I431" s="5">
        <v>50</v>
      </c>
      <c r="J431" s="20" t="s">
        <v>23</v>
      </c>
      <c r="K431" s="1">
        <v>42</v>
      </c>
      <c r="L431" s="18"/>
      <c r="M431" s="16" t="s">
        <v>21</v>
      </c>
      <c r="N431" s="32"/>
    </row>
    <row r="432" spans="1:20" ht="11.25" customHeight="1" x14ac:dyDescent="0.25">
      <c r="A432" s="53" t="s">
        <v>67</v>
      </c>
      <c r="C432" s="16" t="s">
        <v>21</v>
      </c>
      <c r="D432" s="20"/>
      <c r="E432" s="16" t="s">
        <v>21</v>
      </c>
      <c r="F432" s="18"/>
      <c r="G432" s="16" t="s">
        <v>21</v>
      </c>
      <c r="H432" s="18"/>
      <c r="I432" s="16" t="s">
        <v>21</v>
      </c>
      <c r="J432" s="20"/>
      <c r="K432" s="16" t="s">
        <v>21</v>
      </c>
      <c r="L432" s="18"/>
      <c r="M432" s="16" t="s">
        <v>21</v>
      </c>
      <c r="N432" s="20"/>
    </row>
    <row r="433" spans="1:18" ht="11.25" customHeight="1" x14ac:dyDescent="0.25">
      <c r="A433" s="53" t="s">
        <v>68</v>
      </c>
      <c r="C433" s="16" t="s">
        <v>21</v>
      </c>
      <c r="D433" s="20"/>
      <c r="E433" s="16" t="s">
        <v>21</v>
      </c>
      <c r="F433" s="18"/>
      <c r="G433" s="16" t="s">
        <v>21</v>
      </c>
      <c r="H433" s="18"/>
      <c r="I433" s="16" t="s">
        <v>21</v>
      </c>
      <c r="J433" s="20"/>
      <c r="K433" s="16" t="s">
        <v>21</v>
      </c>
      <c r="L433" s="18"/>
      <c r="M433" s="16" t="s">
        <v>21</v>
      </c>
      <c r="N433" s="33"/>
    </row>
    <row r="434" spans="1:18" ht="11.25" customHeight="1" x14ac:dyDescent="0.25">
      <c r="A434" s="53" t="s">
        <v>69</v>
      </c>
      <c r="C434" s="16" t="s">
        <v>21</v>
      </c>
      <c r="D434" s="20"/>
      <c r="E434" s="5">
        <v>2065</v>
      </c>
      <c r="F434" s="18" t="s">
        <v>23</v>
      </c>
      <c r="G434" s="5">
        <v>86</v>
      </c>
      <c r="H434" s="18" t="s">
        <v>23</v>
      </c>
      <c r="I434" s="5">
        <v>762000</v>
      </c>
      <c r="J434" s="20"/>
      <c r="K434" s="5">
        <v>181</v>
      </c>
      <c r="L434" s="18" t="s">
        <v>23</v>
      </c>
      <c r="M434" s="16" t="s">
        <v>21</v>
      </c>
      <c r="N434" s="20"/>
    </row>
    <row r="435" spans="1:18" ht="11.25" customHeight="1" x14ac:dyDescent="0.25">
      <c r="A435" s="53" t="s">
        <v>71</v>
      </c>
      <c r="C435" s="16" t="s">
        <v>21</v>
      </c>
      <c r="D435" s="20"/>
      <c r="E435" s="6">
        <v>1726</v>
      </c>
      <c r="F435" s="18"/>
      <c r="G435" s="5">
        <v>90780</v>
      </c>
      <c r="H435" s="18"/>
      <c r="I435" s="5">
        <v>394</v>
      </c>
      <c r="J435" s="20"/>
      <c r="K435" s="5">
        <v>22630</v>
      </c>
      <c r="L435" s="18" t="s">
        <v>23</v>
      </c>
      <c r="M435" s="16" t="s">
        <v>21</v>
      </c>
      <c r="N435" s="20"/>
    </row>
    <row r="436" spans="1:18" ht="11.25" customHeight="1" x14ac:dyDescent="0.25">
      <c r="A436" s="53" t="s">
        <v>72</v>
      </c>
      <c r="C436" s="16" t="s">
        <v>21</v>
      </c>
      <c r="D436" s="20"/>
      <c r="E436" s="16" t="s">
        <v>21</v>
      </c>
      <c r="F436" s="18"/>
      <c r="G436" s="16" t="s">
        <v>21</v>
      </c>
      <c r="H436" s="18"/>
      <c r="I436" s="5">
        <v>83770</v>
      </c>
      <c r="J436" s="20"/>
      <c r="K436" s="5">
        <v>65100</v>
      </c>
      <c r="L436" s="18"/>
      <c r="M436" s="16" t="s">
        <v>21</v>
      </c>
      <c r="N436" s="20"/>
    </row>
    <row r="437" spans="1:18" ht="11.25" customHeight="1" x14ac:dyDescent="0.25">
      <c r="A437" s="53" t="s">
        <v>73</v>
      </c>
      <c r="C437" s="5">
        <v>7234</v>
      </c>
      <c r="D437" s="19"/>
      <c r="E437" s="5">
        <v>22153</v>
      </c>
      <c r="F437" s="17"/>
      <c r="G437" s="5">
        <v>4300</v>
      </c>
      <c r="H437" s="18" t="s">
        <v>23</v>
      </c>
      <c r="I437" s="5">
        <v>19362</v>
      </c>
      <c r="J437" s="20"/>
      <c r="K437" s="5">
        <v>17000</v>
      </c>
      <c r="L437" s="18"/>
      <c r="M437" s="6">
        <v>455</v>
      </c>
      <c r="N437" s="20"/>
    </row>
    <row r="438" spans="1:18" ht="11.25" customHeight="1" x14ac:dyDescent="0.2">
      <c r="A438" s="53" t="s">
        <v>74</v>
      </c>
      <c r="C438" s="35">
        <v>266</v>
      </c>
      <c r="D438" s="19"/>
      <c r="E438" s="35">
        <v>451</v>
      </c>
      <c r="F438" s="17"/>
      <c r="G438" s="16" t="s">
        <v>21</v>
      </c>
      <c r="H438" s="18"/>
      <c r="I438" s="5">
        <v>32568</v>
      </c>
      <c r="J438" s="20"/>
      <c r="K438" s="5">
        <v>288701</v>
      </c>
      <c r="L438" s="18"/>
      <c r="M438" s="16" t="s">
        <v>21</v>
      </c>
      <c r="N438" s="20"/>
    </row>
    <row r="439" spans="1:18" ht="11.25" customHeight="1" x14ac:dyDescent="0.25">
      <c r="A439" s="53" t="s">
        <v>75</v>
      </c>
      <c r="C439" s="16" t="s">
        <v>21</v>
      </c>
      <c r="D439" s="20"/>
      <c r="E439" s="5">
        <v>300</v>
      </c>
      <c r="F439" s="17"/>
      <c r="G439" s="5">
        <v>4004</v>
      </c>
      <c r="H439" s="18"/>
      <c r="I439" s="5">
        <v>53802</v>
      </c>
      <c r="J439" s="20"/>
      <c r="K439" s="5">
        <v>5520</v>
      </c>
      <c r="L439" s="18" t="s">
        <v>154</v>
      </c>
      <c r="M439" s="5">
        <v>3500</v>
      </c>
      <c r="N439" s="20"/>
    </row>
    <row r="440" spans="1:18" ht="11.25" customHeight="1" x14ac:dyDescent="0.25">
      <c r="A440" s="71" t="s">
        <v>76</v>
      </c>
      <c r="C440" s="8">
        <v>32800</v>
      </c>
      <c r="D440" s="31"/>
      <c r="E440" s="8">
        <v>538000</v>
      </c>
      <c r="F440" s="31"/>
      <c r="G440" s="8">
        <v>513000</v>
      </c>
      <c r="H440" s="30"/>
      <c r="I440" s="8">
        <v>1940000</v>
      </c>
      <c r="J440" s="31"/>
      <c r="K440" s="8">
        <v>5910000</v>
      </c>
      <c r="L440" s="31"/>
      <c r="M440" s="8">
        <v>28400</v>
      </c>
      <c r="N440" s="31"/>
    </row>
    <row r="441" spans="1:18" ht="11.25" customHeight="1" x14ac:dyDescent="0.25">
      <c r="A441" s="71" t="s">
        <v>77</v>
      </c>
      <c r="C441" s="72">
        <v>0.05</v>
      </c>
      <c r="E441" s="72">
        <v>8.3000000000000004E-2</v>
      </c>
      <c r="G441" s="72">
        <v>0.49</v>
      </c>
      <c r="I441" s="72">
        <v>0.48499999999999999</v>
      </c>
      <c r="K441" s="72">
        <v>0.20200000000000001</v>
      </c>
      <c r="M441" s="72">
        <v>0.59699999999999998</v>
      </c>
      <c r="N441" s="18"/>
    </row>
    <row r="442" spans="1:18" ht="11.25" customHeight="1" x14ac:dyDescent="0.25">
      <c r="A442" s="53" t="s">
        <v>78</v>
      </c>
      <c r="C442" s="6">
        <v>1920</v>
      </c>
      <c r="D442" s="20" t="s">
        <v>155</v>
      </c>
      <c r="E442" s="6">
        <v>180000</v>
      </c>
      <c r="F442" s="20" t="s">
        <v>155</v>
      </c>
      <c r="G442" s="6">
        <v>43000</v>
      </c>
      <c r="H442" s="20" t="s">
        <v>155</v>
      </c>
      <c r="I442" s="6">
        <v>978000</v>
      </c>
      <c r="J442" s="20" t="s">
        <v>155</v>
      </c>
      <c r="K442" s="6">
        <v>4110000</v>
      </c>
      <c r="L442" s="20" t="s">
        <v>155</v>
      </c>
      <c r="M442" s="6">
        <v>8</v>
      </c>
      <c r="N442" s="18" t="s">
        <v>156</v>
      </c>
    </row>
    <row r="443" spans="1:18" ht="11.25" customHeight="1" x14ac:dyDescent="0.25">
      <c r="A443" s="71" t="s">
        <v>77</v>
      </c>
      <c r="C443" s="7">
        <v>3.0000000000000001E-3</v>
      </c>
      <c r="D443" s="74"/>
      <c r="E443" s="7">
        <f>E442/E444</f>
        <v>3.6999999999999998E-2</v>
      </c>
      <c r="F443" s="74"/>
      <c r="G443" s="7">
        <v>3.9E-2</v>
      </c>
      <c r="H443" s="74"/>
      <c r="I443" s="7">
        <f>I442/I444</f>
        <v>0.246</v>
      </c>
      <c r="J443" s="74"/>
      <c r="K443" s="7">
        <v>0.14099999999999999</v>
      </c>
      <c r="L443" s="74"/>
      <c r="M443" s="7" t="s">
        <v>201</v>
      </c>
      <c r="N443" s="75"/>
    </row>
    <row r="444" spans="1:18" ht="11.25" customHeight="1" x14ac:dyDescent="0.25">
      <c r="A444" s="71" t="s">
        <v>80</v>
      </c>
      <c r="B444" s="76"/>
      <c r="C444" s="27">
        <v>582000</v>
      </c>
      <c r="D444" s="91"/>
      <c r="E444" s="27">
        <v>4930000</v>
      </c>
      <c r="F444" s="91"/>
      <c r="G444" s="27">
        <v>1110000</v>
      </c>
      <c r="H444" s="91"/>
      <c r="I444" s="27">
        <v>3980000</v>
      </c>
      <c r="J444" s="91"/>
      <c r="K444" s="77">
        <v>29200000</v>
      </c>
      <c r="L444" s="78"/>
      <c r="M444" s="77">
        <v>47500</v>
      </c>
      <c r="N444" s="78"/>
    </row>
    <row r="445" spans="1:18" ht="11.25" customHeight="1" x14ac:dyDescent="0.25">
      <c r="A445" s="188" t="s">
        <v>203</v>
      </c>
      <c r="B445" s="188"/>
      <c r="C445" s="188"/>
      <c r="D445" s="188"/>
      <c r="E445" s="188"/>
      <c r="F445" s="188"/>
      <c r="G445" s="188"/>
      <c r="H445" s="188"/>
      <c r="I445" s="188"/>
      <c r="J445" s="188"/>
      <c r="K445" s="188"/>
      <c r="L445" s="188"/>
      <c r="M445" s="188"/>
      <c r="N445" s="188"/>
      <c r="P445" s="13"/>
    </row>
    <row r="446" spans="1:18" ht="22.7" customHeight="1" x14ac:dyDescent="0.25">
      <c r="A446" s="181" t="s">
        <v>157</v>
      </c>
      <c r="B446" s="181"/>
      <c r="C446" s="181"/>
      <c r="D446" s="181"/>
      <c r="E446" s="181"/>
      <c r="F446" s="181"/>
      <c r="G446" s="181"/>
      <c r="H446" s="181"/>
      <c r="I446" s="181"/>
      <c r="J446" s="181"/>
      <c r="K446" s="181"/>
      <c r="L446" s="181"/>
      <c r="M446" s="181"/>
      <c r="N446" s="181"/>
      <c r="O446" s="61"/>
      <c r="P446" s="61"/>
      <c r="Q446" s="61"/>
      <c r="R446" s="61"/>
    </row>
    <row r="447" spans="1:18" ht="22.5" customHeight="1" x14ac:dyDescent="0.25">
      <c r="A447" s="181" t="s">
        <v>158</v>
      </c>
      <c r="B447" s="181"/>
      <c r="C447" s="181"/>
      <c r="D447" s="181"/>
      <c r="E447" s="181"/>
      <c r="F447" s="181"/>
      <c r="G447" s="181"/>
      <c r="H447" s="181"/>
      <c r="I447" s="181"/>
      <c r="J447" s="181"/>
      <c r="K447" s="181"/>
      <c r="L447" s="181"/>
      <c r="M447" s="181"/>
      <c r="N447" s="181"/>
      <c r="O447" s="61"/>
      <c r="P447" s="61"/>
      <c r="Q447" s="61"/>
      <c r="R447" s="61"/>
    </row>
    <row r="448" spans="1:18" ht="11.25" customHeight="1" x14ac:dyDescent="0.25">
      <c r="A448" s="182" t="s">
        <v>159</v>
      </c>
      <c r="B448" s="182"/>
      <c r="C448" s="182"/>
      <c r="D448" s="182"/>
      <c r="E448" s="182"/>
      <c r="F448" s="182"/>
      <c r="G448" s="182"/>
      <c r="H448" s="182"/>
      <c r="I448" s="182"/>
      <c r="J448" s="182"/>
      <c r="K448" s="182"/>
      <c r="L448" s="182"/>
      <c r="M448" s="182"/>
      <c r="N448" s="182"/>
      <c r="O448" s="62"/>
      <c r="P448" s="62"/>
      <c r="Q448" s="62"/>
      <c r="R448" s="62"/>
    </row>
    <row r="449" spans="1:18" ht="11.25" customHeight="1" x14ac:dyDescent="0.25">
      <c r="A449" s="182" t="s">
        <v>160</v>
      </c>
      <c r="B449" s="182"/>
      <c r="C449" s="182"/>
      <c r="D449" s="182"/>
      <c r="E449" s="182"/>
      <c r="F449" s="182"/>
      <c r="G449" s="182"/>
      <c r="H449" s="182"/>
      <c r="I449" s="182"/>
      <c r="J449" s="182"/>
      <c r="K449" s="182"/>
      <c r="L449" s="182"/>
      <c r="M449" s="182"/>
      <c r="N449" s="182"/>
      <c r="O449" s="62"/>
      <c r="P449" s="62"/>
      <c r="Q449" s="62"/>
      <c r="R449" s="62"/>
    </row>
    <row r="450" spans="1:18" ht="11.25" customHeight="1" x14ac:dyDescent="0.25">
      <c r="A450" s="180" t="s">
        <v>161</v>
      </c>
      <c r="B450" s="180"/>
      <c r="C450" s="180"/>
      <c r="D450" s="180"/>
      <c r="E450" s="180"/>
      <c r="F450" s="180"/>
      <c r="G450" s="180"/>
      <c r="H450" s="180"/>
      <c r="I450" s="180"/>
      <c r="J450" s="180"/>
      <c r="K450" s="180"/>
      <c r="L450" s="180"/>
      <c r="M450" s="180"/>
      <c r="N450" s="180"/>
      <c r="P450" s="13"/>
    </row>
    <row r="451" spans="1:18" ht="11.25" customHeight="1" x14ac:dyDescent="0.25">
      <c r="A451" s="180" t="s">
        <v>162</v>
      </c>
      <c r="B451" s="180"/>
      <c r="C451" s="180"/>
      <c r="D451" s="180"/>
      <c r="E451" s="180"/>
      <c r="F451" s="180"/>
      <c r="G451" s="180"/>
      <c r="H451" s="180"/>
      <c r="I451" s="180"/>
      <c r="J451" s="180"/>
      <c r="K451" s="180"/>
      <c r="L451" s="180"/>
      <c r="M451" s="180"/>
      <c r="N451" s="180"/>
    </row>
    <row r="452" spans="1:18" ht="11.25" customHeight="1" x14ac:dyDescent="0.25">
      <c r="A452" s="180" t="s">
        <v>163</v>
      </c>
      <c r="B452" s="180"/>
      <c r="C452" s="180"/>
      <c r="D452" s="180"/>
      <c r="E452" s="180"/>
      <c r="F452" s="180"/>
      <c r="G452" s="180"/>
      <c r="H452" s="180"/>
      <c r="I452" s="180"/>
      <c r="J452" s="180"/>
      <c r="K452" s="180"/>
      <c r="L452" s="180"/>
      <c r="M452" s="180"/>
      <c r="N452" s="180"/>
    </row>
    <row r="453" spans="1:18" ht="11.25" customHeight="1" x14ac:dyDescent="0.25">
      <c r="A453" s="180" t="s">
        <v>164</v>
      </c>
      <c r="B453" s="180"/>
      <c r="C453" s="180"/>
      <c r="D453" s="180"/>
      <c r="E453" s="180"/>
      <c r="F453" s="180"/>
      <c r="G453" s="180"/>
      <c r="H453" s="180"/>
      <c r="I453" s="180"/>
      <c r="J453" s="180"/>
      <c r="K453" s="180"/>
      <c r="L453" s="180"/>
      <c r="M453" s="180"/>
      <c r="N453" s="180"/>
    </row>
    <row r="454" spans="1:18" ht="11.25" customHeight="1" x14ac:dyDescent="0.25">
      <c r="A454" s="180" t="s">
        <v>165</v>
      </c>
      <c r="B454" s="180"/>
      <c r="C454" s="180"/>
      <c r="D454" s="180"/>
      <c r="E454" s="180"/>
      <c r="F454" s="180"/>
      <c r="G454" s="180"/>
      <c r="H454" s="180"/>
      <c r="I454" s="180"/>
      <c r="J454" s="180"/>
      <c r="K454" s="180"/>
      <c r="L454" s="180"/>
      <c r="M454" s="180"/>
      <c r="N454" s="180"/>
    </row>
    <row r="455" spans="1:18" ht="11.25" customHeight="1" x14ac:dyDescent="0.25">
      <c r="A455" s="180" t="s">
        <v>166</v>
      </c>
      <c r="B455" s="180"/>
      <c r="C455" s="180"/>
      <c r="D455" s="180"/>
      <c r="E455" s="180"/>
      <c r="F455" s="180"/>
      <c r="G455" s="180"/>
      <c r="H455" s="180"/>
      <c r="I455" s="180"/>
      <c r="J455" s="180"/>
      <c r="K455" s="180"/>
      <c r="L455" s="180"/>
      <c r="M455" s="180"/>
      <c r="N455" s="180"/>
    </row>
    <row r="456" spans="1:18" ht="11.25" customHeight="1" x14ac:dyDescent="0.25">
      <c r="A456" s="180" t="s">
        <v>204</v>
      </c>
      <c r="B456" s="180"/>
      <c r="C456" s="180"/>
      <c r="D456" s="180"/>
      <c r="E456" s="180"/>
      <c r="F456" s="180"/>
      <c r="G456" s="180"/>
      <c r="H456" s="180"/>
      <c r="I456" s="180"/>
      <c r="J456" s="180"/>
      <c r="K456" s="180"/>
      <c r="L456" s="180"/>
      <c r="M456" s="180"/>
      <c r="N456" s="180"/>
    </row>
    <row r="457" spans="1:18" ht="11.25" customHeight="1" x14ac:dyDescent="0.25">
      <c r="A457" s="13" t="s">
        <v>205</v>
      </c>
    </row>
  </sheetData>
  <mergeCells count="115">
    <mergeCell ref="A1:T1"/>
    <mergeCell ref="A2:T2"/>
    <mergeCell ref="A3:T3"/>
    <mergeCell ref="A4:T4"/>
    <mergeCell ref="A5:T5"/>
    <mergeCell ref="C6:T6"/>
    <mergeCell ref="A48:T48"/>
    <mergeCell ref="A49:T49"/>
    <mergeCell ref="A50:T50"/>
    <mergeCell ref="A51:T51"/>
    <mergeCell ref="C52:R52"/>
    <mergeCell ref="C54:I54"/>
    <mergeCell ref="O54:Q54"/>
    <mergeCell ref="O7:Q7"/>
    <mergeCell ref="C8:I8"/>
    <mergeCell ref="O8:Q8"/>
    <mergeCell ref="G9:I9"/>
    <mergeCell ref="A46:T46"/>
    <mergeCell ref="A47:T47"/>
    <mergeCell ref="A97:T97"/>
    <mergeCell ref="C98:T98"/>
    <mergeCell ref="K99:M99"/>
    <mergeCell ref="C100:E100"/>
    <mergeCell ref="O100:T100"/>
    <mergeCell ref="C101:E101"/>
    <mergeCell ref="Q101:T101"/>
    <mergeCell ref="G55:I55"/>
    <mergeCell ref="A77:T77"/>
    <mergeCell ref="A93:T93"/>
    <mergeCell ref="A94:T94"/>
    <mergeCell ref="A95:T95"/>
    <mergeCell ref="A96:T96"/>
    <mergeCell ref="C144:T144"/>
    <mergeCell ref="K145:M145"/>
    <mergeCell ref="C146:E146"/>
    <mergeCell ref="O146:T146"/>
    <mergeCell ref="C147:E147"/>
    <mergeCell ref="Q147:T147"/>
    <mergeCell ref="A138:T138"/>
    <mergeCell ref="A139:T139"/>
    <mergeCell ref="A140:T140"/>
    <mergeCell ref="A141:T141"/>
    <mergeCell ref="A142:T142"/>
    <mergeCell ref="A143:T143"/>
    <mergeCell ref="C190:T190"/>
    <mergeCell ref="I191:K191"/>
    <mergeCell ref="E192:G192"/>
    <mergeCell ref="I192:K192"/>
    <mergeCell ref="O192:Q192"/>
    <mergeCell ref="I193:K193"/>
    <mergeCell ref="A169:T169"/>
    <mergeCell ref="A185:T185"/>
    <mergeCell ref="A186:T186"/>
    <mergeCell ref="A187:T187"/>
    <mergeCell ref="A188:T188"/>
    <mergeCell ref="A189:T189"/>
    <mergeCell ref="C236:T236"/>
    <mergeCell ref="I237:K237"/>
    <mergeCell ref="E238:G238"/>
    <mergeCell ref="I238:K238"/>
    <mergeCell ref="O238:Q238"/>
    <mergeCell ref="I239:K239"/>
    <mergeCell ref="A230:T230"/>
    <mergeCell ref="A231:T231"/>
    <mergeCell ref="A232:T232"/>
    <mergeCell ref="A233:T233"/>
    <mergeCell ref="A234:T234"/>
    <mergeCell ref="A235:T235"/>
    <mergeCell ref="C282:E282"/>
    <mergeCell ref="G282:T282"/>
    <mergeCell ref="C283:E283"/>
    <mergeCell ref="A322:T322"/>
    <mergeCell ref="A323:T323"/>
    <mergeCell ref="A324:T324"/>
    <mergeCell ref="A261:T261"/>
    <mergeCell ref="A277:T277"/>
    <mergeCell ref="A278:T278"/>
    <mergeCell ref="A279:T279"/>
    <mergeCell ref="A280:T280"/>
    <mergeCell ref="A281:T281"/>
    <mergeCell ref="A353:T353"/>
    <mergeCell ref="A369:N369"/>
    <mergeCell ref="A370:N370"/>
    <mergeCell ref="A371:N371"/>
    <mergeCell ref="A372:N372"/>
    <mergeCell ref="A373:N373"/>
    <mergeCell ref="A325:T325"/>
    <mergeCell ref="A326:T326"/>
    <mergeCell ref="A327:T327"/>
    <mergeCell ref="C328:E328"/>
    <mergeCell ref="G328:T328"/>
    <mergeCell ref="C329:E329"/>
    <mergeCell ref="A418:N418"/>
    <mergeCell ref="A419:N419"/>
    <mergeCell ref="C420:N420"/>
    <mergeCell ref="C422:G422"/>
    <mergeCell ref="C423:G423"/>
    <mergeCell ref="A445:N445"/>
    <mergeCell ref="C374:N374"/>
    <mergeCell ref="C376:G376"/>
    <mergeCell ref="A413:N413"/>
    <mergeCell ref="A415:N415"/>
    <mergeCell ref="A416:N416"/>
    <mergeCell ref="A417:N417"/>
    <mergeCell ref="A452:N452"/>
    <mergeCell ref="A453:N453"/>
    <mergeCell ref="A454:N454"/>
    <mergeCell ref="A455:N455"/>
    <mergeCell ref="A456:N456"/>
    <mergeCell ref="A446:N446"/>
    <mergeCell ref="A447:N447"/>
    <mergeCell ref="A448:N448"/>
    <mergeCell ref="A449:N449"/>
    <mergeCell ref="A450:N450"/>
    <mergeCell ref="A451:N451"/>
  </mergeCells>
  <pageMargins left="0.5" right="0.5" top="0.5" bottom="0.75" header="0.3" footer="0.3"/>
  <pageSetup orientation="landscape"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20" ma:contentTypeDescription="Create a new document." ma:contentTypeScope="" ma:versionID="ec3080a5bb2d5a3d4860600e895abb70">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C33FFCCB-C640-4395-9556-BE05A2C0F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187212-4895-4CB4-8C0B-6327F6314EEA}">
  <ds:schemaRefs>
    <ds:schemaRef ds:uri="http://schemas.microsoft.com/sharepoint/v3/contenttype/forms"/>
  </ds:schemaRefs>
</ds:datastoreItem>
</file>

<file path=customXml/itemProps3.xml><?xml version="1.0" encoding="utf-8"?>
<ds:datastoreItem xmlns:ds="http://schemas.openxmlformats.org/officeDocument/2006/customXml" ds:itemID="{F511D1EC-DA76-489C-B344-A166E912F932}">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vt:lpstr>
      <vt:lpstr>T1</vt:lpstr>
      <vt:lpstr>T2</vt:lpstr>
      <vt:lpstr>T3-EUR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Trimmer, Loyd Moreland</dc:creator>
  <cp:keywords/>
  <dc:description/>
  <cp:lastModifiedBy>Hakim, Samir</cp:lastModifiedBy>
  <cp:revision/>
  <cp:lastPrinted>2025-04-17T18:54:00Z</cp:lastPrinted>
  <dcterms:created xsi:type="dcterms:W3CDTF">2022-10-07T16:54:42Z</dcterms:created>
  <dcterms:modified xsi:type="dcterms:W3CDTF">2025-04-30T19:33:34Z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