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jishee\Desktop\2017-18_vIII_Repostings_by_Jeff_for_Jan_review\Repostings_completed_by_Jeff\LATIN AMERICA and CANADA\MYB_17-18_WEB\Excel\"/>
    </mc:Choice>
  </mc:AlternateContent>
  <xr:revisionPtr revIDLastSave="0" documentId="13_ncr:1_{37B31BB3-B69B-483F-82FA-0EF01DD00889}" xr6:coauthVersionLast="47" xr6:coauthVersionMax="47" xr10:uidLastSave="{00000000-0000-0000-0000-000000000000}"/>
  <bookViews>
    <workbookView xWindow="-120" yWindow="-120" windowWidth="29040" windowHeight="15840" xr2:uid="{00000000-000D-0000-FFFF-FFFF00000000}"/>
  </bookViews>
  <sheets>
    <sheet name="Text" sheetId="9" r:id="rId1"/>
    <sheet name="Table 1" sheetId="7" r:id="rId2"/>
    <sheet name="Table 2" sheetId="8" r:id="rId3"/>
    <sheet name="Table 3" sheetId="6"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34" i="6" l="1"/>
  <c r="G134" i="6"/>
  <c r="M136" i="6"/>
  <c r="C136" i="6"/>
  <c r="G136" i="6"/>
  <c r="O85" i="6"/>
  <c r="C40" i="6"/>
  <c r="G40" i="6"/>
  <c r="S40" i="6"/>
  <c r="S38" i="6"/>
  <c r="C38" i="6"/>
  <c r="E134" i="6" l="1"/>
  <c r="C134" i="6"/>
  <c r="C180" i="6"/>
  <c r="K180" i="6"/>
  <c r="K182" i="6"/>
  <c r="C182" i="6"/>
  <c r="E182" i="6"/>
  <c r="G182" i="6"/>
  <c r="G180" i="6"/>
  <c r="I134" i="6"/>
  <c r="I87" i="6"/>
  <c r="I85" i="6"/>
  <c r="I38" i="6"/>
  <c r="E180" i="6"/>
  <c r="O38" i="6" l="1"/>
  <c r="I182" i="6"/>
  <c r="I180" i="6"/>
  <c r="O136" i="6"/>
  <c r="O134" i="6"/>
  <c r="K136" i="6"/>
  <c r="K134" i="6"/>
  <c r="S87" i="6"/>
  <c r="S85" i="6"/>
  <c r="Q87" i="6"/>
  <c r="Q85" i="6"/>
  <c r="M87" i="6"/>
  <c r="M85" i="6"/>
  <c r="K87" i="6"/>
  <c r="K85" i="6"/>
  <c r="G85" i="6"/>
  <c r="E85" i="6"/>
  <c r="E87" i="6"/>
  <c r="C85" i="6"/>
  <c r="U40" i="6"/>
  <c r="U38" i="6"/>
  <c r="Q40" i="6"/>
  <c r="Q38" i="6"/>
  <c r="O40" i="6"/>
  <c r="M40" i="6"/>
  <c r="M37" i="6"/>
  <c r="M38" i="6" s="1"/>
  <c r="K40" i="6"/>
  <c r="K38" i="6"/>
  <c r="G38" i="6"/>
  <c r="E38" i="6"/>
</calcChain>
</file>

<file path=xl/sharedStrings.xml><?xml version="1.0" encoding="utf-8"?>
<sst xmlns="http://schemas.openxmlformats.org/spreadsheetml/2006/main" count="1077" uniqueCount="184">
  <si>
    <r>
      <t>LATIN AMERICA AND CANADA: PRODUCTION OF SELECTED MINERAL COMMODITIES IN 2018</t>
    </r>
    <r>
      <rPr>
        <vertAlign val="superscript"/>
        <sz val="8"/>
        <rFont val="Times New Roman"/>
        <family val="1"/>
      </rPr>
      <t>1</t>
    </r>
  </si>
  <si>
    <t>Metals</t>
  </si>
  <si>
    <t xml:space="preserve">    Copper</t>
  </si>
  <si>
    <t xml:space="preserve">  Gold,</t>
  </si>
  <si>
    <t>Lead</t>
  </si>
  <si>
    <t>Aluminum</t>
  </si>
  <si>
    <t>mine output,</t>
  </si>
  <si>
    <t>Metal,</t>
  </si>
  <si>
    <t xml:space="preserve"> mine output,</t>
  </si>
  <si>
    <t>Iron and steel</t>
  </si>
  <si>
    <t>output,</t>
  </si>
  <si>
    <t xml:space="preserve"> refined,</t>
  </si>
  <si>
    <t>Iron ore,</t>
  </si>
  <si>
    <t xml:space="preserve">Steel, </t>
  </si>
  <si>
    <t xml:space="preserve">  Pb content</t>
  </si>
  <si>
    <r>
      <t>Country or locality</t>
    </r>
    <r>
      <rPr>
        <vertAlign val="superscript"/>
        <sz val="8"/>
        <rFont val="Times New Roman"/>
        <family val="1"/>
      </rPr>
      <t>2</t>
    </r>
  </si>
  <si>
    <t>Alumina</t>
  </si>
  <si>
    <t>Bauxite</t>
  </si>
  <si>
    <t>primary</t>
  </si>
  <si>
    <t>(metric tons)</t>
  </si>
  <si>
    <t>Cu content</t>
  </si>
  <si>
    <t>(kilograms)</t>
  </si>
  <si>
    <t>raw</t>
  </si>
  <si>
    <t>Argentina</t>
  </si>
  <si>
    <t>--</t>
  </si>
  <si>
    <t>e</t>
  </si>
  <si>
    <t>Belize</t>
  </si>
  <si>
    <t>Bolivia</t>
  </si>
  <si>
    <t>Brazil</t>
  </si>
  <si>
    <t>Canada</t>
  </si>
  <si>
    <t>Chile</t>
  </si>
  <si>
    <t>Colombia</t>
  </si>
  <si>
    <t>Costa Rica</t>
  </si>
  <si>
    <t>Cuba</t>
  </si>
  <si>
    <t>Dominican Republic</t>
  </si>
  <si>
    <t>Ecuador</t>
  </si>
  <si>
    <t>El Salvador</t>
  </si>
  <si>
    <t>French Guiana</t>
  </si>
  <si>
    <t>Guatemala</t>
  </si>
  <si>
    <t>Guyana</t>
  </si>
  <si>
    <t>Honduras</t>
  </si>
  <si>
    <t>Jamaica</t>
  </si>
  <si>
    <t>Mexico</t>
  </si>
  <si>
    <t>Nicaragua</t>
  </si>
  <si>
    <t>Panama</t>
  </si>
  <si>
    <t>Paraguay</t>
  </si>
  <si>
    <t>Peru</t>
  </si>
  <si>
    <t>Suriname</t>
  </si>
  <si>
    <t>Trinidad and Tobago</t>
  </si>
  <si>
    <t>Uruguay</t>
  </si>
  <si>
    <r>
      <t>Venezuela</t>
    </r>
    <r>
      <rPr>
        <vertAlign val="superscript"/>
        <sz val="8"/>
        <rFont val="Times New Roman"/>
        <family val="1"/>
      </rPr>
      <t>p</t>
    </r>
  </si>
  <si>
    <t>Regional total</t>
  </si>
  <si>
    <t>Share of world total</t>
  </si>
  <si>
    <t>United States</t>
  </si>
  <si>
    <t>W</t>
  </si>
  <si>
    <t>World total</t>
  </si>
  <si>
    <t>See footnotes at end of table.</t>
  </si>
  <si>
    <t>TABLE 3—Continued</t>
  </si>
  <si>
    <t xml:space="preserve">  Silver,</t>
  </si>
  <si>
    <t xml:space="preserve">   Tin, mine</t>
  </si>
  <si>
    <t xml:space="preserve">   Nickel</t>
  </si>
  <si>
    <t xml:space="preserve">   output,</t>
  </si>
  <si>
    <t xml:space="preserve">   Platinum</t>
  </si>
  <si>
    <t xml:space="preserve">  Ag content</t>
  </si>
  <si>
    <t xml:space="preserve">   Sn content</t>
  </si>
  <si>
    <t>Ni content</t>
  </si>
  <si>
    <t>Industrial minerals</t>
  </si>
  <si>
    <t>Phosphate</t>
  </si>
  <si>
    <t>Cement,</t>
  </si>
  <si>
    <t xml:space="preserve">    Potash,</t>
  </si>
  <si>
    <t>hydraulic</t>
  </si>
  <si>
    <t>(thousand carats)</t>
  </si>
  <si>
    <t>Gypsum</t>
  </si>
  <si>
    <r>
      <t>K</t>
    </r>
    <r>
      <rPr>
        <vertAlign val="subscript"/>
        <sz val="8"/>
        <rFont val="Times New Roman"/>
        <family val="1"/>
      </rPr>
      <t>2</t>
    </r>
    <r>
      <rPr>
        <sz val="8"/>
        <rFont val="Times New Roman"/>
        <family val="1"/>
      </rPr>
      <t>O equivalent</t>
    </r>
  </si>
  <si>
    <t>Salt</t>
  </si>
  <si>
    <t>Barbados</t>
  </si>
  <si>
    <t>Guadaloupe</t>
  </si>
  <si>
    <t>Haiti</t>
  </si>
  <si>
    <t>Martinique</t>
  </si>
  <si>
    <t>Mineral fuels and related materials</t>
  </si>
  <si>
    <t>Petroleum</t>
  </si>
  <si>
    <t>(thousand</t>
  </si>
  <si>
    <t>Uranium,</t>
  </si>
  <si>
    <t xml:space="preserve">     Coal,</t>
  </si>
  <si>
    <t>U content</t>
  </si>
  <si>
    <t>all grades</t>
  </si>
  <si>
    <t>4</t>
  </si>
  <si>
    <t>5</t>
  </si>
  <si>
    <t>6</t>
  </si>
  <si>
    <t>TABLE 1</t>
  </si>
  <si>
    <t>THE AMERICAS: AREA AND POPULATION IN 2018</t>
  </si>
  <si>
    <r>
      <t>Area</t>
    </r>
    <r>
      <rPr>
        <vertAlign val="superscript"/>
        <sz val="8"/>
        <rFont val="Times New Roman"/>
        <family val="1"/>
      </rPr>
      <t>1</t>
    </r>
  </si>
  <si>
    <r>
      <t>Estimated population</t>
    </r>
    <r>
      <rPr>
        <vertAlign val="superscript"/>
        <sz val="8"/>
        <rFont val="Times New Roman"/>
        <family val="1"/>
      </rPr>
      <t>2</t>
    </r>
  </si>
  <si>
    <t>Country or territory</t>
  </si>
  <si>
    <t>(square kilometers)</t>
  </si>
  <si>
    <t>(thousands)</t>
  </si>
  <si>
    <t>Aruba</t>
  </si>
  <si>
    <t>Bahamas, The</t>
  </si>
  <si>
    <t>Bermuda</t>
  </si>
  <si>
    <t>Dominica</t>
  </si>
  <si>
    <t>Guadeloupe</t>
  </si>
  <si>
    <t>Puerto Rico</t>
  </si>
  <si>
    <t>Saint Kitts and Nevis</t>
  </si>
  <si>
    <r>
      <t>United States</t>
    </r>
    <r>
      <rPr>
        <vertAlign val="superscript"/>
        <sz val="8"/>
        <rFont val="Times New Roman"/>
        <family val="1"/>
      </rPr>
      <t>5</t>
    </r>
  </si>
  <si>
    <t>Venezuela</t>
  </si>
  <si>
    <t xml:space="preserve">World total </t>
  </si>
  <si>
    <r>
      <t>2</t>
    </r>
    <r>
      <rPr>
        <sz val="8"/>
        <rFont val="Times New Roman"/>
        <family val="1"/>
      </rPr>
      <t>Source: The World Bank, 2021 World Development Indicators Database.</t>
    </r>
  </si>
  <si>
    <r>
      <t>5</t>
    </r>
    <r>
      <rPr>
        <sz val="8"/>
        <rFont val="Times New Roman"/>
        <family val="1"/>
      </rPr>
      <t>Excludes Puerto Rico and U.S. Virgin Islands.</t>
    </r>
  </si>
  <si>
    <r>
      <t>6</t>
    </r>
    <r>
      <rPr>
        <sz val="8"/>
        <rFont val="Times New Roman"/>
        <family val="1"/>
      </rPr>
      <t>World area total includes the areal extent of some countries and (or) territories not covered in the Minerals Yearbook.</t>
    </r>
  </si>
  <si>
    <r>
      <rPr>
        <vertAlign val="superscript"/>
        <sz val="8"/>
        <rFont val="Times New Roman"/>
        <family val="1"/>
      </rPr>
      <t>7</t>
    </r>
    <r>
      <rPr>
        <sz val="8"/>
        <rFont val="Times New Roman"/>
        <family val="1"/>
      </rPr>
      <t xml:space="preserve">World population total includes populations of some countries and (or) territories not covered in the Minerals Yearbook. </t>
    </r>
  </si>
  <si>
    <t>TABLE 2</t>
  </si>
  <si>
    <r>
      <t>THE AMERICAS: GROSS DOMESTIC PRODUCT</t>
    </r>
    <r>
      <rPr>
        <vertAlign val="superscript"/>
        <sz val="8"/>
        <rFont val="Times New Roman"/>
        <family val="1"/>
      </rPr>
      <t>1, 2</t>
    </r>
  </si>
  <si>
    <t>Gross domestic product in 2018</t>
  </si>
  <si>
    <t>based on purchasing power parity</t>
  </si>
  <si>
    <t>Real gross domestic product growth rate</t>
  </si>
  <si>
    <t>Gross value</t>
  </si>
  <si>
    <t>Per capita</t>
  </si>
  <si>
    <t>(percentage)</t>
  </si>
  <si>
    <t>(million dollars)</t>
  </si>
  <si>
    <t>(dollars)</t>
  </si>
  <si>
    <r>
      <t>Cuba</t>
    </r>
    <r>
      <rPr>
        <vertAlign val="superscript"/>
        <sz val="8"/>
        <rFont val="Times New Roman"/>
        <family val="1"/>
      </rPr>
      <t>3</t>
    </r>
  </si>
  <si>
    <r>
      <t xml:space="preserve">World total </t>
    </r>
    <r>
      <rPr>
        <vertAlign val="superscript"/>
        <sz val="8"/>
        <rFont val="Times New Roman"/>
        <family val="1"/>
      </rPr>
      <t>6</t>
    </r>
  </si>
  <si>
    <r>
      <t>1</t>
    </r>
    <r>
      <rPr>
        <sz val="8"/>
        <rFont val="Times New Roman"/>
        <family val="1"/>
      </rPr>
      <t>Source: International Monetary Fund, World Economic Outlook Database, October 2020.</t>
    </r>
  </si>
  <si>
    <r>
      <t>3</t>
    </r>
    <r>
      <rPr>
        <sz val="8"/>
        <rFont val="Times New Roman"/>
        <family val="1"/>
      </rPr>
      <t>Source: United Nations data 2021. Gross domestic product values of Cuba at current prices.</t>
    </r>
  </si>
  <si>
    <r>
      <rPr>
        <vertAlign val="superscript"/>
        <sz val="8"/>
        <rFont val="Times New Roman"/>
        <family val="1"/>
      </rPr>
      <t>4</t>
    </r>
    <r>
      <rPr>
        <sz val="8"/>
        <rFont val="Times New Roman"/>
        <family val="1"/>
      </rPr>
      <t>Calculated as gross domestic product divided by population.</t>
    </r>
  </si>
  <si>
    <r>
      <rPr>
        <vertAlign val="superscript"/>
        <sz val="8"/>
        <rFont val="Times New Roman"/>
        <family val="1"/>
      </rPr>
      <t>5</t>
    </r>
    <r>
      <rPr>
        <sz val="8"/>
        <rFont val="Times New Roman"/>
        <family val="1"/>
      </rPr>
      <t>Annual change in regional gross domestic product.</t>
    </r>
  </si>
  <si>
    <r>
      <rPr>
        <vertAlign val="superscript"/>
        <sz val="8"/>
        <rFont val="Times New Roman"/>
        <family val="1"/>
      </rPr>
      <t>6</t>
    </r>
    <r>
      <rPr>
        <sz val="8"/>
        <rFont val="Times New Roman"/>
        <family val="1"/>
      </rPr>
      <t>World gross domestic product total includes the gross domestic product of some countries and (or) territories not covered in the Minerals Yearbook.</t>
    </r>
  </si>
  <si>
    <r>
      <t>3</t>
    </r>
    <r>
      <rPr>
        <sz val="8"/>
        <rFont val="Times New Roman"/>
        <family val="1"/>
      </rPr>
      <t>Source: Ministère des Outre-mer, France.</t>
    </r>
  </si>
  <si>
    <r>
      <t>4</t>
    </r>
    <r>
      <rPr>
        <sz val="8"/>
        <rFont val="Times New Roman"/>
        <family val="1"/>
      </rPr>
      <t>Source: CEROM, Institut d'Émission des Départements d'Outre-Mer, France.</t>
    </r>
  </si>
  <si>
    <r>
      <rPr>
        <vertAlign val="superscript"/>
        <sz val="8"/>
        <rFont val="Times New Roman"/>
        <family val="1"/>
      </rPr>
      <t>1</t>
    </r>
    <r>
      <rPr>
        <sz val="8"/>
        <rFont val="Times New Roman"/>
        <family val="1"/>
      </rPr>
      <t xml:space="preserve">Table includes data available through March 10, 2021. All data are reported unless otherwise noted. World totals, U.S. data, and estimated data are rounded to no more than three significant digits; may not add to totals shown owing to independent rounding. Percentages were calculated using unrounded data. </t>
    </r>
  </si>
  <si>
    <t>TABLE 3</t>
  </si>
  <si>
    <r>
      <t>2</t>
    </r>
    <r>
      <rPr>
        <sz val="8"/>
        <rFont val="Times New Roman"/>
        <family val="1"/>
      </rPr>
      <t>Gross domestic product listed may differ from that reported in individual country chapters owing to differences in source or date of reporting. Data were not available for Aruba and French Guiana, Guadeloupe, and Martinique.</t>
    </r>
  </si>
  <si>
    <t>Antimony,</t>
  </si>
  <si>
    <t xml:space="preserve">   Palladium</t>
  </si>
  <si>
    <t>condensate</t>
  </si>
  <si>
    <t xml:space="preserve">    (thousand</t>
  </si>
  <si>
    <t>Lithium, mine and</t>
  </si>
  <si>
    <t>brine, lithium</t>
  </si>
  <si>
    <t>carbonate equivalent</t>
  </si>
  <si>
    <r>
      <rPr>
        <vertAlign val="superscript"/>
        <sz val="8"/>
        <rFont val="Times New Roman"/>
        <family val="1"/>
      </rPr>
      <t>5</t>
    </r>
    <r>
      <rPr>
        <sz val="8"/>
        <rFont val="Times New Roman"/>
        <family val="1"/>
      </rPr>
      <t>Source: U.S. Energy Information Administration.</t>
    </r>
  </si>
  <si>
    <r>
      <rPr>
        <vertAlign val="superscript"/>
        <sz val="8"/>
        <rFont val="Times New Roman"/>
        <family val="1"/>
      </rPr>
      <t>6</t>
    </r>
    <r>
      <rPr>
        <sz val="8"/>
        <rFont val="Times New Roman"/>
        <family val="1"/>
      </rPr>
      <t>Source: BP Statistical Review of World Energy. Refinery, throughput.</t>
    </r>
  </si>
  <si>
    <t>7</t>
  </si>
  <si>
    <t>Metals—Continued</t>
  </si>
  <si>
    <t>(Thousand metric tons unless otherwise specified)</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</si>
  <si>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</si>
  <si>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t xml:space="preserve">   rock, </t>
  </si>
  <si>
    <t xml:space="preserve">Platinum-group metals, mine </t>
  </si>
  <si>
    <t>output, metal content</t>
  </si>
  <si>
    <t>Mine output,</t>
  </si>
  <si>
    <t>Lead—</t>
  </si>
  <si>
    <t>Continued</t>
  </si>
  <si>
    <t>Mine</t>
  </si>
  <si>
    <r>
      <rPr>
        <vertAlign val="superscript"/>
        <sz val="8"/>
        <rFont val="Times New Roman"/>
        <family val="1"/>
      </rPr>
      <t>2</t>
    </r>
    <r>
      <rPr>
        <sz val="8"/>
        <rFont val="Times New Roman"/>
        <family val="1"/>
      </rPr>
      <t>In addition to the countries and (or) localities listed, Aruba produced crude petroleum, petroleum refinery products, and sulfur, and Barbados, Curacao, Guadeloupe, Haiti, Martinique, Saba, Saint Eustatius, and Saint Maarten also produced minerals, but available information was inadequate to make reliable estimates of output.</t>
    </r>
    <r>
      <rPr>
        <strike/>
        <sz val="8"/>
        <rFont val="Times New Roman"/>
        <family val="1"/>
      </rPr>
      <t xml:space="preserve"> </t>
    </r>
  </si>
  <si>
    <r>
      <rPr>
        <vertAlign val="superscript"/>
        <sz val="8"/>
        <rFont val="Times New Roman"/>
        <family val="1"/>
      </rPr>
      <t>e</t>
    </r>
    <r>
      <rPr>
        <sz val="8"/>
        <rFont val="Times New Roman"/>
        <family val="1"/>
      </rPr>
      <t xml:space="preserve">Estimated.  </t>
    </r>
    <r>
      <rPr>
        <vertAlign val="superscript"/>
        <sz val="8"/>
        <rFont val="Times New Roman"/>
        <family val="1"/>
      </rPr>
      <t>p</t>
    </r>
    <r>
      <rPr>
        <sz val="8"/>
        <rFont val="Times New Roman"/>
        <family val="1"/>
      </rPr>
      <t>Preliminary. W Withheld to avoid disclosing company proprietary data.  -- Zero or zero percent.</t>
    </r>
  </si>
  <si>
    <r>
      <rPr>
        <vertAlign val="superscript"/>
        <sz val="8"/>
        <rFont val="Times New Roman"/>
        <family val="1"/>
      </rPr>
      <t>3</t>
    </r>
    <r>
      <rPr>
        <sz val="8"/>
        <rFont val="Times New Roman"/>
        <family val="1"/>
      </rPr>
      <t>Based on total sales of cement (domestic and exports).</t>
    </r>
  </si>
  <si>
    <r>
      <rPr>
        <vertAlign val="superscript"/>
        <sz val="8"/>
        <rFont val="Times New Roman"/>
        <family val="1"/>
      </rPr>
      <t>4</t>
    </r>
    <r>
      <rPr>
        <sz val="8"/>
        <rFont val="Times New Roman"/>
        <family val="1"/>
      </rPr>
      <t>Gypsum world total may include synthetic gypsum powder production.</t>
    </r>
  </si>
  <si>
    <r>
      <rPr>
        <vertAlign val="superscript"/>
        <sz val="8"/>
        <rFont val="Times New Roman"/>
        <family val="1"/>
      </rPr>
      <t>7</t>
    </r>
    <r>
      <rPr>
        <sz val="8"/>
        <rFont val="Times New Roman"/>
        <family val="1"/>
      </rPr>
      <t>Source: World Nuclear Association.</t>
    </r>
  </si>
  <si>
    <t>Refinery</t>
  </si>
  <si>
    <t>products</t>
  </si>
  <si>
    <t>dry (million</t>
  </si>
  <si>
    <t>cubic meters)</t>
  </si>
  <si>
    <t>Natural gas,</t>
  </si>
  <si>
    <t>Diamond, natural,</t>
  </si>
  <si>
    <t>gemstones and</t>
  </si>
  <si>
    <t>industrial</t>
  </si>
  <si>
    <t>Sb content</t>
  </si>
  <si>
    <t>Au content</t>
  </si>
  <si>
    <t>Fe content</t>
  </si>
  <si>
    <t>Metal, refined,</t>
  </si>
  <si>
    <t>Zinc (metric tons)</t>
  </si>
  <si>
    <t>Zn content</t>
  </si>
  <si>
    <t xml:space="preserve">primary </t>
  </si>
  <si>
    <r>
      <t>1</t>
    </r>
    <r>
      <rPr>
        <sz val="8"/>
        <rFont val="Times New Roman"/>
        <family val="1"/>
      </rPr>
      <t>Source: U.S. Central Intelligence Agency, The World Factbook</t>
    </r>
    <r>
      <rPr>
        <vertAlign val="superscript"/>
        <sz val="8"/>
        <rFont val="Times New Roman"/>
        <family val="1"/>
      </rPr>
      <t>.</t>
    </r>
  </si>
  <si>
    <t>Crude, including</t>
  </si>
  <si>
    <t xml:space="preserve">    42-gallon barrels)</t>
  </si>
  <si>
    <t xml:space="preserve"> 42-gallon barrels)</t>
  </si>
  <si>
    <t xml:space="preserve">  products </t>
  </si>
  <si>
    <t xml:space="preserve">  Refinery</t>
  </si>
  <si>
    <t>This icon is linked to an embedded text document. Double-click on the icon to view the text document.</t>
  </si>
  <si>
    <t>The Mineral Industries of Latin America and Canada in 2017–2018</t>
  </si>
  <si>
    <t>This workbook includes an embedded Word document and three tables (see tabs below).</t>
  </si>
  <si>
    <t>This report is included in the USGS Minerals Yearbook 2017–2018, volume III, Area Reports—International.</t>
  </si>
  <si>
    <t>Advance release:</t>
  </si>
  <si>
    <t>Final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</si>
</sst>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409]mmmm\ d\,\ yyyy;@"/>
  </numFmts>
  <fonts count="15" x14ac:knownFonts="1">
    <font>
      <sz val="11"/>
      <color theme="1"/>
      <name val="Calibri"/>
      <family val="2"/>
      <scheme val="minor"/>
    </font>
    <font>
      <sz val="10"/>
      <name val="Arial"/>
      <family val="2"/>
    </font>
    <font>
      <sz val="8"/>
      <name val="Times New Roman"/>
      <family val="1"/>
    </font>
    <font>
      <vertAlign val="superscript"/>
      <sz val="8"/>
      <name val="Times New Roman"/>
      <family val="1"/>
    </font>
    <font>
      <sz val="11"/>
      <color theme="1"/>
      <name val="Calibri"/>
      <family val="2"/>
      <scheme val="minor"/>
    </font>
    <font>
      <sz val="10"/>
      <name val="Times New Roman"/>
      <family val="1"/>
    </font>
    <font>
      <strike/>
      <vertAlign val="superscript"/>
      <sz val="8"/>
      <name val="Times New Roman"/>
      <family val="1"/>
    </font>
    <font>
      <vertAlign val="subscript"/>
      <sz val="8"/>
      <name val="Times New Roman"/>
      <family val="1"/>
    </font>
    <font>
      <sz val="10"/>
      <color rgb="FF000000"/>
      <name val="Arial"/>
      <family val="2"/>
    </font>
    <font>
      <sz val="11"/>
      <name val="Calibri"/>
      <family val="2"/>
      <scheme val="minor"/>
    </font>
    <font>
      <sz val="10"/>
      <name val="Times"/>
      <family val="1"/>
    </font>
    <font>
      <strike/>
      <sz val="8"/>
      <name val="Times New Roman"/>
      <family val="1"/>
    </font>
    <font>
      <b/>
      <sz val="10"/>
      <color theme="1"/>
      <name val="Times New Roman"/>
      <family val="1"/>
    </font>
    <font>
      <b/>
      <sz val="10"/>
      <name val="Times New Roman"/>
      <family val="2"/>
    </font>
    <font>
      <sz val="10"/>
      <name val="Times New Roman"/>
      <family val="2"/>
    </font>
  </fonts>
  <fills count="2">
    <fill>
      <patternFill patternType="none"/>
    </fill>
    <fill>
      <patternFill patternType="gray125"/>
    </fill>
  </fills>
  <borders count="10">
    <border>
      <left/>
      <right/>
      <top/>
      <bottom/>
      <diagonal/>
    </border>
    <border>
      <left/>
      <right/>
      <top/>
      <bottom style="hair">
        <color indexed="64"/>
      </bottom>
      <diagonal/>
    </border>
    <border>
      <left/>
      <right/>
      <top style="hair">
        <color auto="1"/>
      </top>
      <bottom style="hair">
        <color auto="1"/>
      </bottom>
      <diagonal/>
    </border>
    <border>
      <left/>
      <right/>
      <top style="hair">
        <color indexed="64"/>
      </top>
      <bottom/>
      <diagonal/>
    </border>
    <border>
      <left/>
      <right/>
      <top/>
      <bottom style="thin">
        <color indexed="64"/>
      </bottom>
      <diagonal/>
    </border>
    <border>
      <left/>
      <right/>
      <top style="hair">
        <color indexed="8"/>
      </top>
      <bottom/>
      <diagonal/>
    </border>
    <border>
      <left/>
      <right/>
      <top style="thin">
        <color indexed="64"/>
      </top>
      <bottom/>
      <diagonal/>
    </border>
    <border>
      <left/>
      <right/>
      <top style="hair">
        <color auto="1"/>
      </top>
      <bottom style="hair">
        <color auto="1"/>
      </bottom>
      <diagonal/>
    </border>
    <border>
      <left/>
      <right/>
      <top style="hair">
        <color indexed="64"/>
      </top>
      <bottom/>
      <diagonal/>
    </border>
    <border>
      <left/>
      <right/>
      <top style="hair">
        <color rgb="FF000000"/>
      </top>
      <bottom/>
      <diagonal/>
    </border>
  </borders>
  <cellStyleXfs count="15">
    <xf numFmtId="0" fontId="0" fillId="0" borderId="0"/>
    <xf numFmtId="0" fontId="1" fillId="0" borderId="0"/>
    <xf numFmtId="0" fontId="2" fillId="0" borderId="0"/>
    <xf numFmtId="0" fontId="1" fillId="0" borderId="0"/>
    <xf numFmtId="0" fontId="4" fillId="0" borderId="0"/>
    <xf numFmtId="43" fontId="5" fillId="0" borderId="0" applyFont="0" applyFill="0" applyBorder="0" applyAlignment="0" applyProtection="0"/>
    <xf numFmtId="0" fontId="1" fillId="0" borderId="0"/>
    <xf numFmtId="0" fontId="4" fillId="0" borderId="0"/>
    <xf numFmtId="0" fontId="8" fillId="0" borderId="0"/>
    <xf numFmtId="0" fontId="8" fillId="0" borderId="0"/>
    <xf numFmtId="0" fontId="1" fillId="0" borderId="0"/>
    <xf numFmtId="0" fontId="5" fillId="0" borderId="0"/>
    <xf numFmtId="0" fontId="1" fillId="0" borderId="0"/>
    <xf numFmtId="0" fontId="1" fillId="0" borderId="0"/>
    <xf numFmtId="0" fontId="1" fillId="0" borderId="0"/>
  </cellStyleXfs>
  <cellXfs count="245">
    <xf numFmtId="0" fontId="0" fillId="0" borderId="0" xfId="0"/>
    <xf numFmtId="3" fontId="2" fillId="0" borderId="0" xfId="6" quotePrefix="1" applyNumberFormat="1" applyFont="1" applyFill="1" applyAlignment="1">
      <alignment horizontal="right" vertical="center"/>
    </xf>
    <xf numFmtId="49" fontId="2" fillId="0" borderId="0" xfId="6" applyNumberFormat="1" applyFont="1" applyFill="1" applyAlignment="1">
      <alignment horizontal="right" vertical="center"/>
    </xf>
    <xf numFmtId="49" fontId="2" fillId="0" borderId="3" xfId="6" applyNumberFormat="1" applyFont="1" applyFill="1" applyBorder="1" applyAlignment="1">
      <alignment horizontal="center" vertical="center"/>
    </xf>
    <xf numFmtId="49" fontId="3" fillId="0" borderId="0" xfId="6" quotePrefix="1" applyNumberFormat="1" applyFont="1" applyFill="1" applyAlignment="1">
      <alignment horizontal="left" vertical="center"/>
    </xf>
    <xf numFmtId="49" fontId="3" fillId="0" borderId="1" xfId="6" quotePrefix="1" applyNumberFormat="1" applyFont="1" applyFill="1" applyBorder="1" applyAlignment="1">
      <alignment vertical="center"/>
    </xf>
    <xf numFmtId="49" fontId="3" fillId="0" borderId="0" xfId="6" quotePrefix="1" applyNumberFormat="1" applyFont="1" applyFill="1" applyAlignment="1">
      <alignment vertical="center"/>
    </xf>
    <xf numFmtId="3" fontId="2" fillId="0" borderId="0" xfId="6" quotePrefix="1" applyNumberFormat="1" applyFont="1" applyFill="1" applyBorder="1" applyAlignment="1">
      <alignment horizontal="right" vertical="center"/>
    </xf>
    <xf numFmtId="49" fontId="2" fillId="0" borderId="0" xfId="6" quotePrefix="1" applyNumberFormat="1" applyFont="1" applyFill="1" applyAlignment="1">
      <alignment horizontal="right" vertical="center"/>
    </xf>
    <xf numFmtId="164" fontId="2" fillId="0" borderId="0" xfId="6" applyNumberFormat="1" applyFont="1" applyFill="1" applyBorder="1" applyAlignment="1">
      <alignment horizontal="right" vertical="center"/>
    </xf>
    <xf numFmtId="49" fontId="2" fillId="0" borderId="2" xfId="6" applyNumberFormat="1" applyFont="1" applyFill="1" applyBorder="1" applyAlignment="1">
      <alignment vertical="center"/>
    </xf>
    <xf numFmtId="49" fontId="2" fillId="0" borderId="1" xfId="6" applyNumberFormat="1" applyFont="1" applyFill="1" applyBorder="1" applyAlignment="1">
      <alignment horizontal="left" vertical="center"/>
    </xf>
    <xf numFmtId="49" fontId="6" fillId="0" borderId="0" xfId="6" quotePrefix="1" applyNumberFormat="1" applyFont="1" applyFill="1" applyAlignment="1">
      <alignment vertical="center"/>
    </xf>
    <xf numFmtId="49" fontId="6" fillId="0" borderId="0" xfId="6" quotePrefix="1" applyNumberFormat="1" applyFont="1" applyFill="1" applyAlignment="1">
      <alignment horizontal="left" vertical="center"/>
    </xf>
    <xf numFmtId="49" fontId="2" fillId="0" borderId="1" xfId="6" quotePrefix="1" applyNumberFormat="1" applyFont="1" applyFill="1" applyBorder="1" applyAlignment="1">
      <alignment horizontal="right" vertical="center"/>
    </xf>
    <xf numFmtId="49" fontId="3" fillId="0" borderId="0" xfId="6" quotePrefix="1" applyNumberFormat="1" applyFont="1" applyFill="1" applyBorder="1" applyAlignment="1">
      <alignment vertical="center"/>
    </xf>
    <xf numFmtId="49" fontId="3" fillId="0" borderId="0" xfId="6" quotePrefix="1" applyNumberFormat="1" applyFont="1" applyFill="1" applyBorder="1" applyAlignment="1">
      <alignment horizontal="left" vertical="center"/>
    </xf>
    <xf numFmtId="49" fontId="2" fillId="0" borderId="0" xfId="6" quotePrefix="1" applyNumberFormat="1" applyFont="1" applyFill="1" applyBorder="1" applyAlignment="1">
      <alignment horizontal="right" vertical="center"/>
    </xf>
    <xf numFmtId="49" fontId="3" fillId="0" borderId="0" xfId="6" applyNumberFormat="1" applyFont="1" applyFill="1" applyAlignment="1">
      <alignment vertical="center"/>
    </xf>
    <xf numFmtId="164" fontId="2" fillId="0" borderId="0" xfId="6" applyNumberFormat="1" applyFont="1" applyFill="1" applyAlignment="1">
      <alignment vertical="center"/>
    </xf>
    <xf numFmtId="49" fontId="2" fillId="0" borderId="0" xfId="6" applyNumberFormat="1" applyFont="1" applyFill="1" applyBorder="1" applyAlignment="1">
      <alignment horizontal="right" vertical="center"/>
    </xf>
    <xf numFmtId="49" fontId="2" fillId="0" borderId="1" xfId="6" applyNumberFormat="1" applyFont="1" applyFill="1" applyBorder="1" applyAlignment="1">
      <alignment horizontal="right" vertical="center"/>
    </xf>
    <xf numFmtId="49" fontId="3" fillId="0" borderId="0" xfId="6" applyNumberFormat="1" applyFont="1" applyFill="1" applyBorder="1" applyAlignment="1">
      <alignment vertical="center"/>
    </xf>
    <xf numFmtId="49" fontId="6" fillId="0" borderId="0" xfId="6" quotePrefix="1" applyNumberFormat="1" applyFont="1" applyFill="1" applyBorder="1" applyAlignment="1">
      <alignment vertical="center"/>
    </xf>
    <xf numFmtId="49" fontId="2" fillId="0" borderId="2" xfId="6" applyNumberFormat="1" applyFont="1" applyFill="1" applyBorder="1" applyAlignment="1">
      <alignment horizontal="left" vertical="center" indent="1"/>
    </xf>
    <xf numFmtId="49" fontId="2" fillId="0" borderId="0" xfId="0" quotePrefix="1" applyNumberFormat="1" applyFont="1" applyFill="1" applyAlignment="1">
      <alignment horizontal="right" vertical="center"/>
    </xf>
    <xf numFmtId="49" fontId="2" fillId="0" borderId="0" xfId="0" applyNumberFormat="1" applyFont="1" applyFill="1" applyAlignment="1">
      <alignment horizontal="center" vertical="center"/>
    </xf>
    <xf numFmtId="3" fontId="2" fillId="0" borderId="0" xfId="0" quotePrefix="1" applyNumberFormat="1" applyFont="1" applyFill="1" applyAlignment="1">
      <alignment horizontal="right" vertical="center"/>
    </xf>
    <xf numFmtId="49" fontId="2" fillId="0" borderId="3" xfId="0" quotePrefix="1" applyNumberFormat="1" applyFont="1" applyFill="1" applyBorder="1" applyAlignment="1">
      <alignment horizontal="right" vertical="center"/>
    </xf>
    <xf numFmtId="3" fontId="2" fillId="0" borderId="3" xfId="0" quotePrefix="1" applyNumberFormat="1" applyFont="1" applyFill="1" applyBorder="1" applyAlignment="1">
      <alignment horizontal="right" vertical="center"/>
    </xf>
    <xf numFmtId="49" fontId="3" fillId="0" borderId="3" xfId="0" quotePrefix="1" applyNumberFormat="1" applyFont="1" applyFill="1" applyBorder="1" applyAlignment="1">
      <alignment vertical="center"/>
    </xf>
    <xf numFmtId="49" fontId="3" fillId="0" borderId="0" xfId="0" applyNumberFormat="1" applyFont="1" applyFill="1" applyAlignment="1">
      <alignment vertical="center"/>
    </xf>
    <xf numFmtId="49" fontId="2" fillId="0" borderId="0" xfId="0" quotePrefix="1" applyNumberFormat="1" applyFont="1" applyFill="1" applyBorder="1" applyAlignment="1">
      <alignment horizontal="right" vertical="center"/>
    </xf>
    <xf numFmtId="49" fontId="3" fillId="0" borderId="0" xfId="0" applyNumberFormat="1" applyFont="1" applyFill="1" applyBorder="1" applyAlignment="1">
      <alignment vertical="center"/>
    </xf>
    <xf numFmtId="49" fontId="3" fillId="0" borderId="0" xfId="0" quotePrefix="1" applyNumberFormat="1" applyFont="1" applyFill="1" applyAlignment="1">
      <alignment vertical="center"/>
    </xf>
    <xf numFmtId="3" fontId="2" fillId="0" borderId="0" xfId="8" applyNumberFormat="1" applyFont="1" applyFill="1" applyAlignment="1">
      <alignment horizontal="right" vertical="center"/>
    </xf>
    <xf numFmtId="3" fontId="2" fillId="0" borderId="0" xfId="0" quotePrefix="1" applyNumberFormat="1" applyFont="1" applyFill="1" applyBorder="1" applyAlignment="1">
      <alignment horizontal="right" vertical="center"/>
    </xf>
    <xf numFmtId="49" fontId="3" fillId="0" borderId="0" xfId="0" quotePrefix="1" applyNumberFormat="1" applyFont="1" applyFill="1" applyBorder="1" applyAlignment="1">
      <alignment vertical="center"/>
    </xf>
    <xf numFmtId="49" fontId="3" fillId="0" borderId="0" xfId="0" quotePrefix="1" applyNumberFormat="1" applyFont="1" applyFill="1" applyAlignment="1">
      <alignment horizontal="right" vertical="center"/>
    </xf>
    <xf numFmtId="3" fontId="2" fillId="0" borderId="0" xfId="0" applyNumberFormat="1" applyFont="1" applyFill="1" applyAlignment="1">
      <alignment vertical="center"/>
    </xf>
    <xf numFmtId="3" fontId="2" fillId="0" borderId="0" xfId="0" applyNumberFormat="1" applyFont="1" applyFill="1" applyBorder="1" applyAlignment="1">
      <alignment vertical="center"/>
    </xf>
    <xf numFmtId="49" fontId="3" fillId="0" borderId="0" xfId="0" quotePrefix="1" applyNumberFormat="1" applyFont="1" applyFill="1" applyAlignment="1">
      <alignment horizontal="left" vertical="center"/>
    </xf>
    <xf numFmtId="49" fontId="3" fillId="0" borderId="0" xfId="0" quotePrefix="1" applyNumberFormat="1" applyFont="1" applyFill="1" applyBorder="1" applyAlignment="1">
      <alignment horizontal="right" vertical="center"/>
    </xf>
    <xf numFmtId="49" fontId="2" fillId="0" borderId="1" xfId="0" quotePrefix="1" applyNumberFormat="1" applyFont="1" applyFill="1" applyBorder="1" applyAlignment="1">
      <alignment horizontal="right" vertical="center"/>
    </xf>
    <xf numFmtId="3" fontId="2" fillId="0" borderId="1" xfId="0" quotePrefix="1" applyNumberFormat="1" applyFont="1" applyFill="1" applyBorder="1" applyAlignment="1">
      <alignment horizontal="right" vertical="center"/>
    </xf>
    <xf numFmtId="49" fontId="3" fillId="0" borderId="1" xfId="0" quotePrefix="1" applyNumberFormat="1" applyFont="1" applyFill="1" applyBorder="1" applyAlignment="1">
      <alignment vertical="center"/>
    </xf>
    <xf numFmtId="49" fontId="2" fillId="0" borderId="0" xfId="0" applyNumberFormat="1" applyFont="1" applyFill="1" applyBorder="1" applyAlignment="1">
      <alignment horizontal="right" vertical="center"/>
    </xf>
    <xf numFmtId="49" fontId="3" fillId="0" borderId="3" xfId="0" applyNumberFormat="1" applyFont="1" applyFill="1" applyBorder="1" applyAlignment="1">
      <alignment vertical="center"/>
    </xf>
    <xf numFmtId="3" fontId="2" fillId="0" borderId="3" xfId="8" applyNumberFormat="1" applyFont="1" applyFill="1" applyBorder="1" applyAlignment="1">
      <alignment horizontal="right" vertical="center"/>
    </xf>
    <xf numFmtId="3" fontId="2" fillId="0" borderId="0" xfId="8" applyNumberFormat="1" applyFont="1" applyFill="1" applyBorder="1" applyAlignment="1">
      <alignment horizontal="right" vertical="center"/>
    </xf>
    <xf numFmtId="49" fontId="3" fillId="0" borderId="1" xfId="0" applyNumberFormat="1" applyFont="1" applyFill="1" applyBorder="1" applyAlignment="1">
      <alignment vertical="center"/>
    </xf>
    <xf numFmtId="49" fontId="2" fillId="0" borderId="0" xfId="0" applyNumberFormat="1" applyFont="1" applyFill="1" applyAlignment="1">
      <alignment horizontal="right" vertical="center"/>
    </xf>
    <xf numFmtId="3" fontId="2" fillId="0" borderId="0" xfId="9" applyNumberFormat="1" applyFont="1" applyFill="1" applyAlignment="1">
      <alignment horizontal="right" vertical="center"/>
    </xf>
    <xf numFmtId="49" fontId="2" fillId="0" borderId="0" xfId="0" applyNumberFormat="1" applyFont="1" applyFill="1" applyAlignment="1">
      <alignment vertical="center"/>
    </xf>
    <xf numFmtId="3" fontId="2" fillId="0" borderId="0" xfId="0" applyNumberFormat="1" applyFont="1" applyFill="1" applyAlignment="1">
      <alignment horizontal="right" vertical="center"/>
    </xf>
    <xf numFmtId="49" fontId="2" fillId="0" borderId="1" xfId="0" applyNumberFormat="1" applyFont="1" applyFill="1" applyBorder="1" applyAlignment="1">
      <alignment horizontal="right" vertical="center"/>
    </xf>
    <xf numFmtId="49" fontId="2" fillId="0" borderId="0" xfId="6" applyNumberFormat="1" applyFont="1" applyFill="1" applyAlignment="1">
      <alignment horizontal="left" vertical="center"/>
    </xf>
    <xf numFmtId="164" fontId="2" fillId="0" borderId="0" xfId="6" applyNumberFormat="1" applyFont="1" applyFill="1" applyBorder="1" applyAlignment="1">
      <alignment vertical="center"/>
    </xf>
    <xf numFmtId="164" fontId="2" fillId="0" borderId="0" xfId="6" applyNumberFormat="1" applyFont="1" applyFill="1" applyAlignment="1">
      <alignment horizontal="right" vertical="center"/>
    </xf>
    <xf numFmtId="3" fontId="2" fillId="0" borderId="1" xfId="6" quotePrefix="1" applyNumberFormat="1" applyFont="1" applyFill="1" applyBorder="1" applyAlignment="1">
      <alignment horizontal="right" vertical="center"/>
    </xf>
    <xf numFmtId="49" fontId="3" fillId="0" borderId="1" xfId="6" quotePrefix="1" applyNumberFormat="1" applyFont="1" applyFill="1" applyBorder="1" applyAlignment="1">
      <alignment horizontal="left" vertical="center"/>
    </xf>
    <xf numFmtId="0" fontId="2" fillId="0" borderId="1" xfId="6" applyFont="1" applyFill="1" applyBorder="1" applyAlignment="1">
      <alignment vertical="center"/>
    </xf>
    <xf numFmtId="0" fontId="9" fillId="0" borderId="0" xfId="0" applyFont="1" applyFill="1"/>
    <xf numFmtId="0" fontId="9" fillId="0" borderId="0" xfId="0" applyFont="1" applyFill="1" applyAlignment="1">
      <alignment horizontal="center" vertical="center"/>
    </xf>
    <xf numFmtId="0" fontId="9" fillId="0" borderId="0" xfId="0" applyFont="1" applyFill="1" applyAlignment="1">
      <alignment horizontal="right" vertical="center"/>
    </xf>
    <xf numFmtId="0" fontId="9" fillId="0" borderId="0" xfId="0" applyFont="1" applyFill="1" applyAlignment="1">
      <alignment vertical="center"/>
    </xf>
    <xf numFmtId="49" fontId="9" fillId="0" borderId="0" xfId="0" applyNumberFormat="1" applyFont="1" applyFill="1" applyBorder="1" applyAlignment="1">
      <alignment vertical="center"/>
    </xf>
    <xf numFmtId="49" fontId="3" fillId="0" borderId="0" xfId="7" applyNumberFormat="1" applyFont="1" applyFill="1" applyBorder="1" applyAlignment="1" applyProtection="1">
      <alignment horizontal="left" vertical="center" wrapText="1"/>
      <protection locked="0"/>
    </xf>
    <xf numFmtId="49" fontId="2" fillId="0" borderId="1" xfId="6" quotePrefix="1" applyNumberFormat="1" applyFont="1" applyFill="1" applyBorder="1" applyAlignment="1">
      <alignment horizontal="center" vertical="center"/>
    </xf>
    <xf numFmtId="0" fontId="2" fillId="0" borderId="0" xfId="3" applyFont="1" applyFill="1"/>
    <xf numFmtId="165" fontId="2" fillId="0" borderId="0" xfId="3" applyNumberFormat="1" applyFont="1" applyFill="1" applyAlignment="1">
      <alignment horizontal="center"/>
    </xf>
    <xf numFmtId="3" fontId="2" fillId="0" borderId="0" xfId="3" applyNumberFormat="1" applyFont="1" applyFill="1" applyAlignment="1">
      <alignment horizontal="center"/>
    </xf>
    <xf numFmtId="3" fontId="2" fillId="0" borderId="0" xfId="3" applyNumberFormat="1" applyFont="1" applyFill="1"/>
    <xf numFmtId="3" fontId="2" fillId="0" borderId="1" xfId="3" quotePrefix="1" applyNumberFormat="1" applyFont="1" applyFill="1" applyBorder="1" applyAlignment="1">
      <alignment horizontal="center"/>
    </xf>
    <xf numFmtId="3" fontId="2" fillId="0" borderId="1" xfId="3" quotePrefix="1" applyNumberFormat="1" applyFont="1" applyFill="1" applyBorder="1" applyAlignment="1">
      <alignment horizontal="right"/>
    </xf>
    <xf numFmtId="3" fontId="2" fillId="0" borderId="1" xfId="3" applyNumberFormat="1" applyFont="1" applyFill="1" applyBorder="1" applyAlignment="1">
      <alignment horizontal="center"/>
    </xf>
    <xf numFmtId="1" fontId="2" fillId="0" borderId="1" xfId="3" quotePrefix="1" applyNumberFormat="1" applyFont="1" applyFill="1" applyBorder="1" applyAlignment="1">
      <alignment horizontal="right"/>
    </xf>
    <xf numFmtId="165" fontId="2" fillId="0" borderId="1" xfId="3" quotePrefix="1" applyNumberFormat="1" applyFont="1" applyFill="1" applyBorder="1" applyAlignment="1">
      <alignment horizontal="right"/>
    </xf>
    <xf numFmtId="165" fontId="2" fillId="0" borderId="2" xfId="3" quotePrefix="1" applyNumberFormat="1" applyFont="1" applyFill="1" applyBorder="1" applyAlignment="1">
      <alignment horizontal="right"/>
    </xf>
    <xf numFmtId="0" fontId="2" fillId="0" borderId="2" xfId="3" applyFont="1" applyFill="1" applyBorder="1" applyAlignment="1">
      <alignment horizontal="left" vertical="center"/>
    </xf>
    <xf numFmtId="165" fontId="2" fillId="0" borderId="0" xfId="3" applyNumberFormat="1" applyFont="1" applyFill="1"/>
    <xf numFmtId="0" fontId="2" fillId="0" borderId="3" xfId="3" applyFont="1" applyFill="1" applyBorder="1" applyAlignment="1">
      <alignment horizontal="left" vertical="center"/>
    </xf>
    <xf numFmtId="3" fontId="2" fillId="0" borderId="0" xfId="3" applyNumberFormat="1" applyFont="1" applyFill="1" applyAlignment="1">
      <alignment vertical="center"/>
    </xf>
    <xf numFmtId="0" fontId="2" fillId="0" borderId="2" xfId="3" applyFont="1" applyFill="1" applyBorder="1" applyAlignment="1" applyProtection="1">
      <alignment horizontal="left"/>
      <protection locked="0"/>
    </xf>
    <xf numFmtId="0" fontId="2" fillId="0" borderId="0" xfId="3" applyFont="1" applyFill="1" applyAlignment="1">
      <alignment horizontal="left"/>
    </xf>
    <xf numFmtId="0" fontId="2" fillId="0" borderId="5" xfId="11" applyFont="1" applyFill="1" applyBorder="1" applyAlignment="1">
      <alignment horizontal="left" vertical="center" indent="1"/>
    </xf>
    <xf numFmtId="0" fontId="2" fillId="0" borderId="7" xfId="11" applyFont="1" applyFill="1" applyBorder="1" applyAlignment="1">
      <alignment horizontal="left" vertical="center"/>
    </xf>
    <xf numFmtId="3" fontId="2" fillId="0" borderId="1" xfId="0" applyNumberFormat="1" applyFont="1" applyFill="1" applyBorder="1"/>
    <xf numFmtId="0" fontId="3" fillId="0" borderId="1" xfId="3" applyFont="1" applyFill="1" applyBorder="1" applyAlignment="1">
      <alignment horizontal="left"/>
    </xf>
    <xf numFmtId="3" fontId="2" fillId="0" borderId="1" xfId="3" applyNumberFormat="1" applyFont="1" applyFill="1" applyBorder="1" applyAlignment="1">
      <alignment horizontal="right"/>
    </xf>
    <xf numFmtId="0" fontId="3" fillId="0" borderId="1" xfId="12" applyFont="1" applyFill="1" applyBorder="1" applyAlignment="1">
      <alignment horizontal="left"/>
    </xf>
    <xf numFmtId="165" fontId="2" fillId="0" borderId="1" xfId="0" applyNumberFormat="1" applyFont="1" applyFill="1" applyBorder="1" applyAlignment="1">
      <alignment horizontal="right" vertical="center"/>
    </xf>
    <xf numFmtId="165" fontId="2" fillId="0" borderId="1" xfId="0" applyNumberFormat="1" applyFont="1" applyFill="1" applyBorder="1"/>
    <xf numFmtId="0" fontId="10" fillId="0" borderId="0" xfId="3" applyFont="1" applyFill="1"/>
    <xf numFmtId="3" fontId="10" fillId="0" borderId="0" xfId="3" applyNumberFormat="1" applyFont="1" applyFill="1"/>
    <xf numFmtId="165" fontId="10" fillId="0" borderId="0" xfId="3" applyNumberFormat="1" applyFont="1" applyFill="1"/>
    <xf numFmtId="0" fontId="1" fillId="0" borderId="0" xfId="3" applyFont="1" applyFill="1"/>
    <xf numFmtId="3" fontId="2" fillId="0" borderId="3" xfId="0" applyNumberFormat="1" applyFont="1" applyFill="1" applyBorder="1"/>
    <xf numFmtId="0" fontId="2" fillId="0" borderId="3" xfId="3" applyFont="1" applyFill="1" applyBorder="1"/>
    <xf numFmtId="165" fontId="2" fillId="0" borderId="3" xfId="0" applyNumberFormat="1" applyFont="1" applyFill="1" applyBorder="1"/>
    <xf numFmtId="3" fontId="2" fillId="0" borderId="0" xfId="0" applyNumberFormat="1" applyFont="1" applyFill="1"/>
    <xf numFmtId="165" fontId="2" fillId="0" borderId="0" xfId="0" applyNumberFormat="1" applyFont="1" applyFill="1"/>
    <xf numFmtId="0" fontId="2" fillId="0" borderId="0" xfId="0" applyFont="1" applyFill="1"/>
    <xf numFmtId="3" fontId="2" fillId="0" borderId="4" xfId="0" applyNumberFormat="1" applyFont="1" applyFill="1" applyBorder="1"/>
    <xf numFmtId="3" fontId="2" fillId="0" borderId="4" xfId="3" applyNumberFormat="1" applyFont="1" applyFill="1" applyBorder="1"/>
    <xf numFmtId="165" fontId="2" fillId="0" borderId="4" xfId="0" applyNumberFormat="1" applyFont="1" applyFill="1" applyBorder="1"/>
    <xf numFmtId="3" fontId="2" fillId="0" borderId="6" xfId="3" applyNumberFormat="1" applyFont="1" applyFill="1" applyBorder="1" applyAlignment="1">
      <alignment horizontal="right"/>
    </xf>
    <xf numFmtId="3" fontId="2" fillId="0" borderId="6" xfId="3" applyNumberFormat="1" applyFont="1" applyFill="1" applyBorder="1"/>
    <xf numFmtId="0" fontId="3" fillId="0" borderId="6" xfId="12" applyFont="1" applyFill="1" applyBorder="1" applyAlignment="1">
      <alignment horizontal="left"/>
    </xf>
    <xf numFmtId="165" fontId="2" fillId="0" borderId="6" xfId="3" applyNumberFormat="1" applyFont="1" applyFill="1" applyBorder="1" applyAlignment="1">
      <alignment horizontal="right"/>
    </xf>
    <xf numFmtId="1" fontId="3" fillId="0" borderId="6" xfId="12" applyNumberFormat="1" applyFont="1" applyFill="1" applyBorder="1" applyAlignment="1">
      <alignment horizontal="left"/>
    </xf>
    <xf numFmtId="0" fontId="2" fillId="0" borderId="3" xfId="1" applyFont="1" applyFill="1" applyBorder="1"/>
    <xf numFmtId="0" fontId="2" fillId="0" borderId="1" xfId="1" applyFont="1" applyFill="1" applyBorder="1" applyAlignment="1">
      <alignment horizontal="center"/>
    </xf>
    <xf numFmtId="0" fontId="2" fillId="0" borderId="2" xfId="1" applyFont="1" applyFill="1" applyBorder="1" applyAlignment="1">
      <alignment horizontal="left" vertical="center"/>
    </xf>
    <xf numFmtId="0" fontId="2" fillId="0" borderId="0" xfId="1" applyFont="1" applyFill="1"/>
    <xf numFmtId="3" fontId="2" fillId="0" borderId="3" xfId="1" applyNumberFormat="1" applyFont="1" applyFill="1" applyBorder="1" applyAlignment="1">
      <alignment horizontal="right" vertical="center" wrapText="1"/>
    </xf>
    <xf numFmtId="0" fontId="2" fillId="0" borderId="3" xfId="1" applyFont="1" applyFill="1" applyBorder="1" applyAlignment="1">
      <alignment horizontal="left" vertical="center"/>
    </xf>
    <xf numFmtId="3" fontId="2" fillId="0" borderId="0" xfId="1" applyNumberFormat="1" applyFont="1" applyFill="1" applyAlignment="1">
      <alignment horizontal="right" vertical="center"/>
    </xf>
    <xf numFmtId="3" fontId="2" fillId="0" borderId="0" xfId="1" applyNumberFormat="1" applyFont="1" applyFill="1" applyAlignment="1">
      <alignment horizontal="right" vertical="center" wrapText="1"/>
    </xf>
    <xf numFmtId="3" fontId="2" fillId="0" borderId="0" xfId="1" applyNumberFormat="1" applyFont="1" applyFill="1" applyAlignment="1">
      <alignment vertical="center"/>
    </xf>
    <xf numFmtId="0" fontId="3" fillId="0" borderId="0" xfId="1" quotePrefix="1" applyFont="1" applyFill="1" applyAlignment="1">
      <alignment horizontal="left"/>
    </xf>
    <xf numFmtId="3" fontId="2" fillId="0" borderId="0" xfId="1" applyNumberFormat="1" applyFont="1" applyFill="1"/>
    <xf numFmtId="3" fontId="3" fillId="0" borderId="0" xfId="1" quotePrefix="1" applyNumberFormat="1" applyFont="1" applyFill="1" applyAlignment="1">
      <alignment horizontal="left"/>
    </xf>
    <xf numFmtId="0" fontId="2" fillId="0" borderId="2" xfId="1" applyFont="1" applyFill="1" applyBorder="1" applyAlignment="1" applyProtection="1">
      <alignment horizontal="left" vertical="center"/>
      <protection locked="0"/>
    </xf>
    <xf numFmtId="3" fontId="2" fillId="0" borderId="0" xfId="1" applyNumberFormat="1" applyFont="1" applyFill="1" applyAlignment="1">
      <alignment horizontal="right"/>
    </xf>
    <xf numFmtId="0" fontId="2" fillId="0" borderId="3" xfId="11" applyFont="1" applyFill="1" applyBorder="1" applyAlignment="1">
      <alignment horizontal="left" vertical="center"/>
    </xf>
    <xf numFmtId="0" fontId="2" fillId="0" borderId="1" xfId="4" applyFont="1" applyFill="1" applyBorder="1"/>
    <xf numFmtId="3" fontId="2" fillId="0" borderId="1" xfId="4" applyNumberFormat="1" applyFont="1" applyFill="1" applyBorder="1"/>
    <xf numFmtId="0" fontId="3" fillId="0" borderId="1" xfId="4" applyFont="1" applyFill="1" applyBorder="1" applyAlignment="1">
      <alignment horizontal="left"/>
    </xf>
    <xf numFmtId="49" fontId="2" fillId="0" borderId="0" xfId="0" applyNumberFormat="1" applyFont="1" applyFill="1" applyAlignment="1">
      <alignment horizontal="left"/>
    </xf>
    <xf numFmtId="49" fontId="9" fillId="0" borderId="0" xfId="0" applyNumberFormat="1" applyFont="1" applyFill="1" applyAlignment="1">
      <alignment horizontal="left"/>
    </xf>
    <xf numFmtId="49" fontId="3" fillId="0" borderId="0" xfId="6"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49" fontId="9" fillId="0" borderId="0" xfId="0" applyNumberFormat="1" applyFont="1" applyFill="1" applyAlignment="1">
      <alignment horizontal="left" vertical="center"/>
    </xf>
    <xf numFmtId="3" fontId="2" fillId="0" borderId="8" xfId="6" quotePrefix="1" applyNumberFormat="1" applyFont="1" applyFill="1" applyBorder="1" applyAlignment="1">
      <alignment horizontal="right" vertical="center"/>
    </xf>
    <xf numFmtId="49" fontId="3" fillId="0" borderId="8" xfId="6" quotePrefix="1" applyNumberFormat="1" applyFont="1" applyFill="1" applyBorder="1" applyAlignment="1">
      <alignment vertical="center"/>
    </xf>
    <xf numFmtId="49" fontId="9" fillId="0" borderId="0" xfId="0" applyNumberFormat="1" applyFont="1" applyFill="1" applyAlignment="1">
      <alignment horizontal="left" vertical="center" wrapText="1"/>
    </xf>
    <xf numFmtId="49" fontId="2" fillId="0" borderId="0" xfId="10" applyNumberFormat="1" applyFont="1" applyFill="1" applyAlignment="1">
      <alignment horizontal="left" vertical="center" wrapText="1"/>
    </xf>
    <xf numFmtId="3" fontId="2" fillId="0" borderId="1" xfId="6" applyNumberFormat="1" applyFont="1" applyFill="1" applyBorder="1" applyAlignment="1">
      <alignment vertical="center"/>
    </xf>
    <xf numFmtId="49" fontId="2" fillId="0" borderId="8" xfId="6" applyNumberFormat="1" applyFont="1" applyFill="1" applyBorder="1" applyAlignment="1">
      <alignment horizontal="center" vertical="center"/>
    </xf>
    <xf numFmtId="49" fontId="9" fillId="0" borderId="8" xfId="0" applyNumberFormat="1" applyFont="1" applyFill="1" applyBorder="1" applyAlignment="1">
      <alignment horizontal="center" vertical="center"/>
    </xf>
    <xf numFmtId="3" fontId="2" fillId="0" borderId="0" xfId="1" applyNumberFormat="1" applyFont="1" applyFill="1" applyBorder="1" applyAlignment="1">
      <alignment horizontal="right" vertical="center"/>
    </xf>
    <xf numFmtId="3" fontId="2" fillId="0" borderId="0" xfId="1" applyNumberFormat="1" applyFont="1" applyFill="1" applyBorder="1" applyAlignment="1">
      <alignment horizontal="right"/>
    </xf>
    <xf numFmtId="0" fontId="2" fillId="0" borderId="0" xfId="1" applyFont="1" applyFill="1" applyBorder="1"/>
    <xf numFmtId="3" fontId="2" fillId="0" borderId="1" xfId="1" applyNumberFormat="1" applyFont="1" applyFill="1" applyBorder="1" applyAlignment="1">
      <alignment horizontal="right" vertical="center" wrapText="1"/>
    </xf>
    <xf numFmtId="0" fontId="2" fillId="0" borderId="8" xfId="6" applyFont="1" applyFill="1" applyBorder="1" applyAlignment="1">
      <alignment vertical="center"/>
    </xf>
    <xf numFmtId="49" fontId="2" fillId="0" borderId="0" xfId="0" applyNumberFormat="1" applyFont="1" applyFill="1" applyBorder="1" applyAlignment="1">
      <alignment vertical="center"/>
    </xf>
    <xf numFmtId="0" fontId="3" fillId="0" borderId="0" xfId="1" applyFont="1" applyFill="1" applyAlignment="1">
      <alignment horizontal="left"/>
    </xf>
    <xf numFmtId="0" fontId="2" fillId="0" borderId="1" xfId="1" applyFont="1" applyFill="1" applyBorder="1"/>
    <xf numFmtId="0" fontId="3" fillId="0" borderId="0" xfId="3" applyFont="1" applyFill="1" applyAlignment="1">
      <alignment horizontal="left"/>
    </xf>
    <xf numFmtId="0" fontId="3" fillId="0" borderId="0" xfId="12" applyFont="1" applyFill="1" applyAlignment="1">
      <alignment horizontal="left"/>
    </xf>
    <xf numFmtId="0" fontId="2" fillId="0" borderId="1" xfId="3" applyFont="1" applyFill="1" applyBorder="1" applyAlignment="1">
      <alignment horizontal="center"/>
    </xf>
    <xf numFmtId="0" fontId="2" fillId="0" borderId="0" xfId="3" applyFont="1" applyFill="1" applyAlignment="1">
      <alignment horizontal="center"/>
    </xf>
    <xf numFmtId="0" fontId="2" fillId="0" borderId="1" xfId="3" applyFont="1" applyFill="1" applyBorder="1"/>
    <xf numFmtId="49" fontId="2" fillId="0" borderId="0" xfId="6" applyNumberFormat="1" applyFont="1" applyFill="1" applyBorder="1" applyAlignment="1">
      <alignment horizontal="center" vertical="center"/>
    </xf>
    <xf numFmtId="49" fontId="2" fillId="0" borderId="0" xfId="6" applyNumberFormat="1" applyFont="1" applyFill="1" applyAlignment="1">
      <alignment horizontal="center" vertical="center"/>
    </xf>
    <xf numFmtId="49" fontId="2" fillId="0" borderId="1" xfId="0" applyNumberFormat="1" applyFont="1" applyFill="1" applyBorder="1" applyAlignment="1">
      <alignment horizontal="center" vertical="center"/>
    </xf>
    <xf numFmtId="49" fontId="2" fillId="0" borderId="0" xfId="6" applyNumberFormat="1" applyFont="1" applyFill="1" applyAlignment="1">
      <alignment vertical="center"/>
    </xf>
    <xf numFmtId="49" fontId="2" fillId="0" borderId="1" xfId="6" applyNumberFormat="1" applyFont="1" applyFill="1" applyBorder="1" applyAlignment="1">
      <alignment vertical="center"/>
    </xf>
    <xf numFmtId="49" fontId="2" fillId="0" borderId="1" xfId="6"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49" fontId="2" fillId="0" borderId="0" xfId="6" applyNumberFormat="1" applyFont="1" applyFill="1" applyBorder="1" applyAlignment="1">
      <alignment horizontal="left" vertical="center"/>
    </xf>
    <xf numFmtId="0" fontId="2" fillId="0" borderId="0" xfId="6" applyFont="1" applyFill="1" applyAlignment="1">
      <alignment vertical="center"/>
    </xf>
    <xf numFmtId="49" fontId="2" fillId="0" borderId="8" xfId="6" applyNumberFormat="1" applyFont="1" applyFill="1" applyBorder="1" applyAlignment="1">
      <alignment vertical="center"/>
    </xf>
    <xf numFmtId="0" fontId="2" fillId="0" borderId="0" xfId="6" applyFont="1" applyFill="1" applyBorder="1" applyAlignment="1">
      <alignment vertical="center"/>
    </xf>
    <xf numFmtId="49" fontId="2" fillId="0" borderId="0" xfId="6" applyNumberFormat="1" applyFont="1" applyFill="1" applyBorder="1" applyAlignment="1">
      <alignment vertical="center"/>
    </xf>
    <xf numFmtId="49" fontId="2" fillId="0" borderId="7" xfId="14" applyNumberFormat="1" applyFont="1" applyFill="1" applyBorder="1" applyAlignment="1">
      <alignment horizontal="center" vertical="center"/>
    </xf>
    <xf numFmtId="49" fontId="2" fillId="0" borderId="7" xfId="14" applyNumberFormat="1" applyFont="1" applyFill="1" applyBorder="1" applyAlignment="1">
      <alignment vertical="center"/>
    </xf>
    <xf numFmtId="3" fontId="2" fillId="0" borderId="0" xfId="14" applyNumberFormat="1" applyFont="1" applyFill="1" applyAlignment="1">
      <alignment horizontal="center" vertical="center"/>
    </xf>
    <xf numFmtId="49" fontId="3" fillId="0" borderId="1" xfId="6" quotePrefix="1" applyNumberFormat="1" applyFont="1" applyFill="1" applyBorder="1" applyAlignment="1">
      <alignment horizontal="left" vertical="top"/>
    </xf>
    <xf numFmtId="0" fontId="2" fillId="0" borderId="2" xfId="1" applyFont="1" applyFill="1" applyBorder="1" applyAlignment="1">
      <alignment horizontal="left"/>
    </xf>
    <xf numFmtId="49" fontId="2" fillId="0" borderId="0" xfId="6" applyNumberFormat="1" applyFont="1" applyFill="1" applyAlignment="1">
      <alignment horizontal="center" vertical="center"/>
    </xf>
    <xf numFmtId="49" fontId="2" fillId="0" borderId="8" xfId="6" applyNumberFormat="1" applyFont="1" applyFill="1" applyBorder="1" applyAlignment="1">
      <alignment vertical="center"/>
    </xf>
    <xf numFmtId="49" fontId="2" fillId="0" borderId="1" xfId="6" applyNumberFormat="1" applyFont="1" applyFill="1" applyBorder="1" applyAlignment="1">
      <alignment horizontal="center" vertical="center"/>
    </xf>
    <xf numFmtId="49" fontId="2" fillId="0" borderId="0" xfId="6" applyNumberFormat="1" applyFont="1" applyFill="1" applyBorder="1" applyAlignment="1">
      <alignment vertical="center"/>
    </xf>
    <xf numFmtId="49" fontId="2" fillId="0" borderId="0" xfId="6" applyNumberFormat="1" applyFont="1" applyFill="1" applyAlignment="1">
      <alignment vertical="center"/>
    </xf>
    <xf numFmtId="49" fontId="2" fillId="0" borderId="0" xfId="6" applyNumberFormat="1" applyFont="1" applyFill="1" applyAlignment="1">
      <alignment horizontal="center" vertical="center"/>
    </xf>
    <xf numFmtId="49" fontId="2" fillId="0" borderId="0" xfId="6" applyNumberFormat="1" applyFont="1" applyFill="1" applyBorder="1" applyAlignment="1">
      <alignment horizontal="center" vertical="center"/>
    </xf>
    <xf numFmtId="49" fontId="2" fillId="0" borderId="0" xfId="6" applyNumberFormat="1" applyFont="1" applyFill="1" applyBorder="1" applyAlignment="1">
      <alignment vertical="center"/>
    </xf>
    <xf numFmtId="49" fontId="3" fillId="0" borderId="9" xfId="6" quotePrefix="1" applyNumberFormat="1" applyFont="1" applyFill="1" applyBorder="1" applyAlignment="1">
      <alignment vertical="center"/>
    </xf>
    <xf numFmtId="49" fontId="2" fillId="0" borderId="1" xfId="6" applyNumberFormat="1" applyFont="1" applyFill="1" applyBorder="1" applyAlignment="1">
      <alignment vertical="center"/>
    </xf>
    <xf numFmtId="49" fontId="2" fillId="0"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0" fontId="12" fillId="0" borderId="0" xfId="0" applyFont="1"/>
    <xf numFmtId="0" fontId="5" fillId="0" borderId="0" xfId="0" applyFont="1"/>
    <xf numFmtId="0" fontId="13" fillId="0" borderId="0" xfId="0" applyFont="1"/>
    <xf numFmtId="0" fontId="14" fillId="0" borderId="0" xfId="0" applyFont="1"/>
    <xf numFmtId="166" fontId="5" fillId="0" borderId="0" xfId="0" applyNumberFormat="1" applyFont="1"/>
    <xf numFmtId="166" fontId="5" fillId="0" borderId="0" xfId="0" applyNumberFormat="1" applyFont="1" applyAlignment="1">
      <alignment horizontal="right"/>
    </xf>
    <xf numFmtId="0" fontId="5" fillId="0" borderId="0" xfId="0" applyFont="1"/>
    <xf numFmtId="0" fontId="3" fillId="0" borderId="0" xfId="1" applyFont="1" applyFill="1" applyAlignment="1">
      <alignment horizontal="left"/>
    </xf>
    <xf numFmtId="0" fontId="2" fillId="0" borderId="0" xfId="1" applyFont="1" applyFill="1" applyAlignment="1">
      <alignment horizontal="center"/>
    </xf>
    <xf numFmtId="0" fontId="2" fillId="0" borderId="1" xfId="1" applyFont="1" applyFill="1" applyBorder="1"/>
    <xf numFmtId="3" fontId="2" fillId="0" borderId="3" xfId="1" applyNumberFormat="1" applyFont="1" applyFill="1" applyBorder="1" applyAlignment="1">
      <alignment horizontal="center"/>
    </xf>
    <xf numFmtId="3" fontId="2" fillId="0" borderId="1" xfId="1" quotePrefix="1" applyNumberFormat="1" applyFont="1" applyFill="1" applyBorder="1" applyAlignment="1">
      <alignment horizontal="center"/>
    </xf>
    <xf numFmtId="3" fontId="2" fillId="0" borderId="8" xfId="1" applyNumberFormat="1" applyFont="1" applyFill="1" applyBorder="1" applyAlignment="1">
      <alignment horizontal="center"/>
    </xf>
    <xf numFmtId="0" fontId="3" fillId="0" borderId="8" xfId="12" applyFont="1" applyFill="1" applyBorder="1" applyAlignment="1">
      <alignment horizontal="left"/>
    </xf>
    <xf numFmtId="0" fontId="3" fillId="0" borderId="0" xfId="2" applyFont="1" applyFill="1" applyAlignment="1" applyProtection="1">
      <alignment horizontal="left"/>
      <protection locked="0"/>
    </xf>
    <xf numFmtId="0" fontId="3" fillId="0" borderId="0" xfId="2" applyFont="1" applyFill="1" applyAlignment="1" applyProtection="1">
      <alignment horizontal="left" wrapText="1"/>
      <protection locked="0"/>
    </xf>
    <xf numFmtId="0" fontId="3" fillId="0" borderId="0" xfId="4" applyFont="1" applyFill="1" applyAlignment="1">
      <alignment horizontal="left" wrapText="1"/>
    </xf>
    <xf numFmtId="0" fontId="9" fillId="0" borderId="0" xfId="0" applyFont="1" applyFill="1" applyAlignment="1">
      <alignment wrapText="1"/>
    </xf>
    <xf numFmtId="0" fontId="2" fillId="0" borderId="0" xfId="0" applyFont="1" applyFill="1" applyAlignment="1">
      <alignment vertical="center" wrapText="1"/>
    </xf>
    <xf numFmtId="0" fontId="2" fillId="0" borderId="1" xfId="3" applyFont="1" applyFill="1" applyBorder="1" applyAlignment="1">
      <alignment horizontal="center"/>
    </xf>
    <xf numFmtId="3" fontId="2" fillId="0" borderId="0" xfId="13" applyNumberFormat="1" applyFont="1" applyFill="1" applyAlignment="1">
      <alignment horizontal="center"/>
    </xf>
    <xf numFmtId="0" fontId="2" fillId="0" borderId="3" xfId="3" applyFont="1" applyFill="1" applyBorder="1" applyAlignment="1">
      <alignment horizontal="center"/>
    </xf>
    <xf numFmtId="165" fontId="2" fillId="0" borderId="3" xfId="3" applyNumberFormat="1" applyFont="1" applyFill="1" applyBorder="1" applyAlignment="1">
      <alignment horizontal="center"/>
    </xf>
    <xf numFmtId="0" fontId="2" fillId="0" borderId="0" xfId="3" applyFont="1" applyFill="1" applyAlignment="1">
      <alignment horizontal="center"/>
    </xf>
    <xf numFmtId="0" fontId="2" fillId="0" borderId="1" xfId="3" applyFont="1" applyFill="1" applyBorder="1"/>
    <xf numFmtId="2" fontId="2" fillId="0" borderId="0" xfId="12" applyNumberFormat="1" applyFont="1" applyFill="1" applyAlignment="1">
      <alignment vertical="center" wrapText="1"/>
    </xf>
    <xf numFmtId="3" fontId="2" fillId="0" borderId="1" xfId="13" applyNumberFormat="1" applyFont="1" applyFill="1" applyBorder="1" applyAlignment="1">
      <alignment horizontal="center"/>
    </xf>
    <xf numFmtId="0" fontId="3" fillId="0" borderId="0" xfId="3" applyFont="1" applyFill="1" applyAlignment="1">
      <alignment horizontal="left"/>
    </xf>
    <xf numFmtId="0" fontId="9" fillId="0" borderId="0" xfId="0" applyFont="1" applyFill="1" applyAlignment="1">
      <alignment horizontal="left"/>
    </xf>
    <xf numFmtId="0" fontId="3" fillId="0" borderId="0" xfId="3" applyFont="1" applyFill="1" applyAlignment="1">
      <alignment horizontal="left" wrapText="1"/>
    </xf>
    <xf numFmtId="0" fontId="9" fillId="0" borderId="0" xfId="0" applyFont="1" applyFill="1" applyAlignment="1">
      <alignment horizontal="left" wrapText="1"/>
    </xf>
    <xf numFmtId="0" fontId="3" fillId="0" borderId="0" xfId="12" applyFont="1" applyFill="1" applyAlignment="1">
      <alignment horizontal="left"/>
    </xf>
    <xf numFmtId="49" fontId="2" fillId="0" borderId="0" xfId="12" applyNumberFormat="1" applyFont="1" applyFill="1" applyAlignment="1">
      <alignment horizontal="left" vertical="center"/>
    </xf>
    <xf numFmtId="0" fontId="2" fillId="0" borderId="0" xfId="12" applyFont="1" applyFill="1" applyAlignment="1">
      <alignment horizontal="left" vertical="center"/>
    </xf>
    <xf numFmtId="0" fontId="2" fillId="0" borderId="0" xfId="6" applyFont="1" applyFill="1" applyAlignment="1">
      <alignment vertical="center"/>
    </xf>
    <xf numFmtId="49" fontId="2" fillId="0" borderId="0" xfId="6" applyNumberFormat="1" applyFont="1" applyFill="1" applyAlignment="1">
      <alignment vertical="center"/>
    </xf>
    <xf numFmtId="49" fontId="9" fillId="0" borderId="0" xfId="0" applyNumberFormat="1" applyFont="1" applyFill="1" applyAlignment="1">
      <alignment vertical="center"/>
    </xf>
    <xf numFmtId="49" fontId="2" fillId="0" borderId="0" xfId="6" applyNumberFormat="1" applyFont="1" applyFill="1" applyAlignment="1">
      <alignment horizontal="center" vertical="center"/>
    </xf>
    <xf numFmtId="49" fontId="9" fillId="0" borderId="0" xfId="0" applyNumberFormat="1" applyFont="1" applyFill="1" applyAlignment="1">
      <alignment horizontal="center" vertical="center"/>
    </xf>
    <xf numFmtId="49" fontId="2" fillId="0" borderId="0" xfId="6" applyNumberFormat="1" applyFont="1" applyFill="1" applyBorder="1" applyAlignment="1">
      <alignment horizontal="center" vertical="center"/>
    </xf>
    <xf numFmtId="49" fontId="2" fillId="0" borderId="1" xfId="6" applyNumberFormat="1" applyFont="1" applyFill="1" applyBorder="1" applyAlignment="1">
      <alignment vertical="center"/>
    </xf>
    <xf numFmtId="49" fontId="9" fillId="0" borderId="1" xfId="0" applyNumberFormat="1" applyFont="1" applyFill="1" applyBorder="1" applyAlignment="1">
      <alignment vertical="center"/>
    </xf>
    <xf numFmtId="49" fontId="9" fillId="0" borderId="0" xfId="0" applyNumberFormat="1" applyFont="1" applyFill="1" applyBorder="1" applyAlignment="1">
      <alignment horizontal="center" vertical="center"/>
    </xf>
    <xf numFmtId="49" fontId="2" fillId="0" borderId="1" xfId="6" applyNumberFormat="1" applyFont="1" applyFill="1" applyBorder="1" applyAlignment="1">
      <alignment horizontal="center" vertical="center"/>
    </xf>
    <xf numFmtId="49" fontId="2" fillId="0" borderId="0" xfId="6" applyNumberFormat="1" applyFont="1" applyFill="1" applyBorder="1" applyAlignment="1">
      <alignment horizontal="left" vertical="center"/>
    </xf>
    <xf numFmtId="0" fontId="9" fillId="0" borderId="0" xfId="0" applyFont="1" applyFill="1" applyAlignment="1">
      <alignment horizontal="left" vertical="center"/>
    </xf>
    <xf numFmtId="49" fontId="9" fillId="0" borderId="1" xfId="0" applyNumberFormat="1" applyFont="1" applyFill="1" applyBorder="1" applyAlignment="1">
      <alignment horizontal="center" vertical="center"/>
    </xf>
    <xf numFmtId="49" fontId="2" fillId="0" borderId="2" xfId="6" applyNumberFormat="1" applyFont="1" applyFill="1" applyBorder="1" applyAlignment="1">
      <alignment horizontal="center" vertical="center"/>
    </xf>
    <xf numFmtId="49" fontId="9" fillId="0" borderId="2" xfId="0" applyNumberFormat="1" applyFont="1" applyFill="1" applyBorder="1" applyAlignment="1">
      <alignment horizontal="center" vertical="center"/>
    </xf>
    <xf numFmtId="49" fontId="2" fillId="0" borderId="3" xfId="6" applyNumberFormat="1" applyFont="1" applyFill="1" applyBorder="1" applyAlignment="1">
      <alignment vertical="center"/>
    </xf>
    <xf numFmtId="49" fontId="9" fillId="0" borderId="3" xfId="0" applyNumberFormat="1" applyFont="1" applyFill="1" applyBorder="1" applyAlignment="1">
      <alignment vertical="center"/>
    </xf>
    <xf numFmtId="49" fontId="9" fillId="0" borderId="8" xfId="0" applyNumberFormat="1" applyFont="1" applyFill="1" applyBorder="1" applyAlignment="1">
      <alignment vertical="center"/>
    </xf>
    <xf numFmtId="49" fontId="2" fillId="0" borderId="1" xfId="0" applyNumberFormat="1" applyFont="1" applyFill="1" applyBorder="1" applyAlignment="1">
      <alignment horizontal="center" vertical="center"/>
    </xf>
    <xf numFmtId="49" fontId="2" fillId="0" borderId="8" xfId="6" applyNumberFormat="1" applyFont="1" applyFill="1" applyBorder="1" applyAlignment="1">
      <alignment vertical="center"/>
    </xf>
    <xf numFmtId="49" fontId="2" fillId="0" borderId="0" xfId="0" applyNumberFormat="1" applyFont="1" applyFill="1" applyBorder="1" applyAlignment="1">
      <alignment horizontal="center" vertical="center"/>
    </xf>
    <xf numFmtId="49" fontId="2" fillId="0" borderId="8" xfId="6" applyNumberFormat="1" applyFont="1" applyFill="1" applyBorder="1" applyAlignment="1">
      <alignment horizontal="left" vertical="center"/>
    </xf>
    <xf numFmtId="49" fontId="2" fillId="0" borderId="7" xfId="6" applyNumberFormat="1" applyFont="1" applyFill="1" applyBorder="1" applyAlignment="1">
      <alignment horizontal="center" vertical="center"/>
    </xf>
    <xf numFmtId="49" fontId="2" fillId="0" borderId="0" xfId="14" applyNumberFormat="1" applyFont="1" applyFill="1" applyAlignment="1">
      <alignment horizontal="center" vertical="center"/>
    </xf>
    <xf numFmtId="49" fontId="2" fillId="0" borderId="1" xfId="14" applyNumberFormat="1" applyFont="1" applyFill="1" applyBorder="1" applyAlignment="1">
      <alignment horizontal="center" vertical="center"/>
    </xf>
    <xf numFmtId="49" fontId="2" fillId="0" borderId="0" xfId="0" applyNumberFormat="1" applyFont="1" applyFill="1" applyAlignment="1">
      <alignment horizontal="left" vertical="center"/>
    </xf>
    <xf numFmtId="49" fontId="2" fillId="0" borderId="0" xfId="7" applyNumberFormat="1" applyFont="1" applyFill="1" applyBorder="1" applyAlignment="1" applyProtection="1">
      <alignment vertical="center" wrapText="1"/>
      <protection locked="0"/>
    </xf>
    <xf numFmtId="49" fontId="2" fillId="0" borderId="0" xfId="10" applyNumberFormat="1" applyFont="1" applyFill="1" applyAlignment="1">
      <alignment vertical="center" wrapText="1"/>
    </xf>
  </cellXfs>
  <cellStyles count="15">
    <cellStyle name="Comma 2" xfId="5" xr:uid="{14DB7329-0B46-4865-A5E0-E4CF3C4B3B03}"/>
    <cellStyle name="Normal" xfId="0" builtinId="0"/>
    <cellStyle name="Normal 10 2" xfId="7" xr:uid="{1D057895-EDCF-4F42-8E8C-84C2C0F647D5}"/>
    <cellStyle name="Normal 2" xfId="6" xr:uid="{98383D75-DA3C-454E-9BB1-198460B82671}"/>
    <cellStyle name="Normal 2 10" xfId="10" xr:uid="{1D16650E-B27B-4CB4-9924-AA29FC4DB45A}"/>
    <cellStyle name="Normal 2 2 18" xfId="8" xr:uid="{3D106B74-27BA-44A6-909C-7ED9433CB7F6}"/>
    <cellStyle name="Normal 3" xfId="1" xr:uid="{00000000-0005-0000-0000-000001000000}"/>
    <cellStyle name="Normal 3 2" xfId="2" xr:uid="{00000000-0005-0000-0000-000002000000}"/>
    <cellStyle name="Normal 38" xfId="9" xr:uid="{EF2B9327-1348-407B-8D09-702ADD559CB0}"/>
    <cellStyle name="Normal 4" xfId="4" xr:uid="{00000000-0005-0000-0000-000003000000}"/>
    <cellStyle name="Normal 5" xfId="3" xr:uid="{00000000-0005-0000-0000-000004000000}"/>
    <cellStyle name="Normal 6" xfId="14" xr:uid="{25E0DFD1-B031-44E8-BD5E-5E4A20723FDF}"/>
    <cellStyle name="Normal_2008 Summary Table 1 and 2_Europe and Central Eurasia" xfId="12" xr:uid="{018AC687-B945-4DC3-BD35-480857EFF2AD}"/>
    <cellStyle name="Normal_2008 Summary Table 1 and 2_Europe and Central Eurasia 2" xfId="13" xr:uid="{D95AA00E-7027-4C4D-82C5-C986400DDA57}"/>
    <cellStyle name="Normal_Tables5_25" xfId="11" xr:uid="{52DC79AA-2305-4B93-B29C-650213108D42}"/>
  </cellStyles>
  <dxfs count="0"/>
  <tableStyles count="0" defaultTableStyle="TableStyleMedium2" defaultPivotStyle="PivotStyleLight16"/>
  <colors>
    <mruColors>
      <color rgb="FF0070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1190625</xdr:colOff>
      <xdr:row>2</xdr:row>
      <xdr:rowOff>171450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906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114300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9</xdr:col>
      <xdr:colOff>96203</xdr:colOff>
      <xdr:row>110</xdr:row>
      <xdr:rowOff>19685</xdr:rowOff>
    </xdr:from>
    <xdr:to>
      <xdr:col>13</xdr:col>
      <xdr:colOff>54293</xdr:colOff>
      <xdr:row>115</xdr:row>
      <xdr:rowOff>57785</xdr:rowOff>
    </xdr:to>
    <xdr:sp macro="" textlink="">
      <xdr:nvSpPr>
        <xdr:cNvPr id="1035" name="Text Box 11" hidden="1">
          <a:extLst>
            <a:ext uri="{FF2B5EF4-FFF2-40B4-BE49-F238E27FC236}">
              <a16:creationId xmlns:a16="http://schemas.microsoft.com/office/drawing/2014/main" id="{00000000-0008-0000-0300-00000B040000}"/>
            </a:ext>
          </a:extLst>
        </xdr:cNvPr>
        <xdr:cNvSpPr txBox="1">
          <a:spLocks noChangeArrowheads="1"/>
        </xdr:cNvSpPr>
      </xdr:nvSpPr>
      <xdr:spPr bwMode="auto">
        <a:xfrm>
          <a:off x="4375150" y="1541145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91758</xdr:colOff>
      <xdr:row>35</xdr:row>
      <xdr:rowOff>53975</xdr:rowOff>
    </xdr:from>
    <xdr:to>
      <xdr:col>14</xdr:col>
      <xdr:colOff>53658</xdr:colOff>
      <xdr:row>40</xdr:row>
      <xdr:rowOff>92075</xdr:rowOff>
    </xdr:to>
    <xdr:sp macro="" textlink="">
      <xdr:nvSpPr>
        <xdr:cNvPr id="1049" name="Text Box 25" hidden="1">
          <a:extLst>
            <a:ext uri="{FF2B5EF4-FFF2-40B4-BE49-F238E27FC236}">
              <a16:creationId xmlns:a16="http://schemas.microsoft.com/office/drawing/2014/main" id="{00000000-0008-0000-0300-000019040000}"/>
            </a:ext>
          </a:extLst>
        </xdr:cNvPr>
        <xdr:cNvSpPr txBox="1">
          <a:spLocks noChangeArrowheads="1"/>
        </xdr:cNvSpPr>
      </xdr:nvSpPr>
      <xdr:spPr bwMode="auto">
        <a:xfrm>
          <a:off x="4489450" y="4933950"/>
          <a:ext cx="14224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91758</xdr:colOff>
      <xdr:row>83</xdr:row>
      <xdr:rowOff>53340</xdr:rowOff>
    </xdr:from>
    <xdr:to>
      <xdr:col>14</xdr:col>
      <xdr:colOff>53658</xdr:colOff>
      <xdr:row>88</xdr:row>
      <xdr:rowOff>38417</xdr:rowOff>
    </xdr:to>
    <xdr:sp macro="" textlink="">
      <xdr:nvSpPr>
        <xdr:cNvPr id="1053" name="Text Box 29" hidden="1">
          <a:extLst>
            <a:ext uri="{FF2B5EF4-FFF2-40B4-BE49-F238E27FC236}">
              <a16:creationId xmlns:a16="http://schemas.microsoft.com/office/drawing/2014/main" id="{00000000-0008-0000-0300-00001D040000}"/>
            </a:ext>
          </a:extLst>
        </xdr:cNvPr>
        <xdr:cNvSpPr txBox="1">
          <a:spLocks noChangeArrowheads="1"/>
        </xdr:cNvSpPr>
      </xdr:nvSpPr>
      <xdr:spPr bwMode="auto">
        <a:xfrm>
          <a:off x="4489450" y="11639550"/>
          <a:ext cx="14224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91758</xdr:colOff>
      <xdr:row>185</xdr:row>
      <xdr:rowOff>19685</xdr:rowOff>
    </xdr:from>
    <xdr:to>
      <xdr:col>14</xdr:col>
      <xdr:colOff>53658</xdr:colOff>
      <xdr:row>188</xdr:row>
      <xdr:rowOff>282258</xdr:rowOff>
    </xdr:to>
    <xdr:sp macro="" textlink="">
      <xdr:nvSpPr>
        <xdr:cNvPr id="1064" name="Text Box 40" hidden="1">
          <a:extLst>
            <a:ext uri="{FF2B5EF4-FFF2-40B4-BE49-F238E27FC236}">
              <a16:creationId xmlns:a16="http://schemas.microsoft.com/office/drawing/2014/main" id="{00000000-0008-0000-0300-000028040000}"/>
            </a:ext>
          </a:extLst>
        </xdr:cNvPr>
        <xdr:cNvSpPr txBox="1">
          <a:spLocks noChangeArrowheads="1"/>
        </xdr:cNvSpPr>
      </xdr:nvSpPr>
      <xdr:spPr bwMode="auto">
        <a:xfrm>
          <a:off x="4489450" y="25888950"/>
          <a:ext cx="14224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96203</xdr:colOff>
      <xdr:row>134</xdr:row>
      <xdr:rowOff>19685</xdr:rowOff>
    </xdr:from>
    <xdr:to>
      <xdr:col>13</xdr:col>
      <xdr:colOff>54293</xdr:colOff>
      <xdr:row>139</xdr:row>
      <xdr:rowOff>57785</xdr:rowOff>
    </xdr:to>
    <xdr:sp macro="" textlink="">
      <xdr:nvSpPr>
        <xdr:cNvPr id="1083" name="Text Box 59" hidden="1">
          <a:extLst>
            <a:ext uri="{FF2B5EF4-FFF2-40B4-BE49-F238E27FC236}">
              <a16:creationId xmlns:a16="http://schemas.microsoft.com/office/drawing/2014/main" id="{00000000-0008-0000-0300-00003B040000}"/>
            </a:ext>
          </a:extLst>
        </xdr:cNvPr>
        <xdr:cNvSpPr txBox="1">
          <a:spLocks noChangeArrowheads="1"/>
        </xdr:cNvSpPr>
      </xdr:nvSpPr>
      <xdr:spPr bwMode="auto">
        <a:xfrm>
          <a:off x="4375150" y="1876425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186</xdr:row>
      <xdr:rowOff>57150</xdr:rowOff>
    </xdr:from>
    <xdr:to>
      <xdr:col>11</xdr:col>
      <xdr:colOff>36513</xdr:colOff>
      <xdr:row>191</xdr:row>
      <xdr:rowOff>72390</xdr:rowOff>
    </xdr:to>
    <xdr:sp macro="" textlink="">
      <xdr:nvSpPr>
        <xdr:cNvPr id="1109" name="Text Box 85" hidden="1">
          <a:extLst>
            <a:ext uri="{FF2B5EF4-FFF2-40B4-BE49-F238E27FC236}">
              <a16:creationId xmlns:a16="http://schemas.microsoft.com/office/drawing/2014/main" id="{00000000-0008-0000-0300-000055040000}"/>
            </a:ext>
          </a:extLst>
        </xdr:cNvPr>
        <xdr:cNvSpPr txBox="1">
          <a:spLocks noChangeArrowheads="1"/>
        </xdr:cNvSpPr>
      </xdr:nvSpPr>
      <xdr:spPr bwMode="auto">
        <a:xfrm>
          <a:off x="3714750" y="26060400"/>
          <a:ext cx="1320800"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D731-FAF4-480C-9060-85EECFBCBEB8}">
  <dimension ref="A5:G22"/>
  <sheetViews>
    <sheetView tabSelected="1" workbookViewId="0">
      <selection activeCell="A5" sqref="A5"/>
    </sheetView>
  </sheetViews>
  <sheetFormatPr defaultRowHeight="15" x14ac:dyDescent="0.25"/>
  <cols>
    <col min="1" max="1" width="27" customWidth="1"/>
    <col min="2" max="2" width="17.7109375" bestFit="1" customWidth="1"/>
    <col min="7" max="7" width="14.7109375" customWidth="1"/>
  </cols>
  <sheetData>
    <row r="5" spans="1:7" x14ac:dyDescent="0.25">
      <c r="A5" s="183"/>
    </row>
    <row r="6" spans="1:7" x14ac:dyDescent="0.25">
      <c r="A6" s="183"/>
    </row>
    <row r="7" spans="1:7" x14ac:dyDescent="0.25">
      <c r="A7" s="189" t="s">
        <v>181</v>
      </c>
      <c r="B7" s="189"/>
      <c r="C7" s="189"/>
      <c r="D7" s="189"/>
      <c r="E7" s="189"/>
      <c r="F7" s="189"/>
      <c r="G7" s="189"/>
    </row>
    <row r="8" spans="1:7" x14ac:dyDescent="0.25">
      <c r="A8" s="184"/>
    </row>
    <row r="9" spans="1:7" x14ac:dyDescent="0.25">
      <c r="A9" s="185" t="s">
        <v>179</v>
      </c>
    </row>
    <row r="10" spans="1:7" x14ac:dyDescent="0.25">
      <c r="A10" s="186" t="s">
        <v>180</v>
      </c>
    </row>
    <row r="11" spans="1:7" x14ac:dyDescent="0.25">
      <c r="A11" s="186"/>
    </row>
    <row r="12" spans="1:7" x14ac:dyDescent="0.25">
      <c r="A12" s="186"/>
    </row>
    <row r="13" spans="1:7" x14ac:dyDescent="0.25">
      <c r="A13" s="186"/>
    </row>
    <row r="14" spans="1:7" x14ac:dyDescent="0.25">
      <c r="A14" s="186"/>
    </row>
    <row r="15" spans="1:7" x14ac:dyDescent="0.25">
      <c r="A15" s="186"/>
    </row>
    <row r="16" spans="1:7" x14ac:dyDescent="0.25">
      <c r="A16" s="186"/>
    </row>
    <row r="17" spans="1:2" x14ac:dyDescent="0.25">
      <c r="A17" s="186"/>
    </row>
    <row r="18" spans="1:2" x14ac:dyDescent="0.25">
      <c r="A18" s="186" t="s">
        <v>178</v>
      </c>
    </row>
    <row r="19" spans="1:2" x14ac:dyDescent="0.25">
      <c r="B19" s="187"/>
    </row>
    <row r="20" spans="1:2" x14ac:dyDescent="0.25">
      <c r="A20" s="186" t="s">
        <v>182</v>
      </c>
      <c r="B20" s="187">
        <v>44796</v>
      </c>
    </row>
    <row r="22" spans="1:2" x14ac:dyDescent="0.25">
      <c r="A22" s="184" t="s">
        <v>183</v>
      </c>
      <c r="B22" s="188">
        <v>45138</v>
      </c>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4099" r:id="rId3">
          <objectPr defaultSize="0" r:id="rId4">
            <anchor moveWithCells="1">
              <from>
                <xdr:col>0</xdr:col>
                <xdr:colOff>0</xdr:colOff>
                <xdr:row>11</xdr:row>
                <xdr:rowOff>0</xdr:rowOff>
              </from>
              <to>
                <xdr:col>0</xdr:col>
                <xdr:colOff>914400</xdr:colOff>
                <xdr:row>14</xdr:row>
                <xdr:rowOff>114300</xdr:rowOff>
              </to>
            </anchor>
          </objectPr>
        </oleObject>
      </mc:Choice>
      <mc:Fallback>
        <oleObject progId="Document" dvAspect="DVASPECT_ICON" shapeId="4099"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E941-972B-4E40-9B41-727B04A3FA9F}">
  <dimension ref="A1:F51"/>
  <sheetViews>
    <sheetView topLeftCell="A7" zoomScaleNormal="100" workbookViewId="0">
      <selection sqref="A1:F1"/>
    </sheetView>
  </sheetViews>
  <sheetFormatPr defaultColWidth="9.140625" defaultRowHeight="15" x14ac:dyDescent="0.25"/>
  <cols>
    <col min="1" max="1" width="24.7109375" style="65" customWidth="1"/>
    <col min="2" max="2" width="2" style="65" customWidth="1"/>
    <col min="3" max="3" width="15.28515625" style="65" customWidth="1"/>
    <col min="4" max="4" width="4.42578125" style="65" customWidth="1"/>
    <col min="5" max="5" width="15.28515625" style="65" customWidth="1"/>
    <col min="6" max="6" width="1.28515625" style="65" bestFit="1" customWidth="1"/>
    <col min="7" max="239" width="9.140625" style="65"/>
    <col min="240" max="240" width="24.7109375" style="65" customWidth="1"/>
    <col min="241" max="241" width="2" style="65" customWidth="1"/>
    <col min="242" max="242" width="15.28515625" style="65" customWidth="1"/>
    <col min="243" max="243" width="6.5703125" style="65" customWidth="1"/>
    <col min="244" max="244" width="7.140625" style="65" customWidth="1"/>
    <col min="245" max="245" width="13.28515625" style="65" customWidth="1"/>
    <col min="246" max="246" width="1.5703125" style="65" customWidth="1"/>
    <col min="247" max="495" width="9.140625" style="65"/>
    <col min="496" max="496" width="24.7109375" style="65" customWidth="1"/>
    <col min="497" max="497" width="2" style="65" customWidth="1"/>
    <col min="498" max="498" width="15.28515625" style="65" customWidth="1"/>
    <col min="499" max="499" width="6.5703125" style="65" customWidth="1"/>
    <col min="500" max="500" width="7.140625" style="65" customWidth="1"/>
    <col min="501" max="501" width="13.28515625" style="65" customWidth="1"/>
    <col min="502" max="502" width="1.5703125" style="65" customWidth="1"/>
    <col min="503" max="751" width="9.140625" style="65"/>
    <col min="752" max="752" width="24.7109375" style="65" customWidth="1"/>
    <col min="753" max="753" width="2" style="65" customWidth="1"/>
    <col min="754" max="754" width="15.28515625" style="65" customWidth="1"/>
    <col min="755" max="755" width="6.5703125" style="65" customWidth="1"/>
    <col min="756" max="756" width="7.140625" style="65" customWidth="1"/>
    <col min="757" max="757" width="13.28515625" style="65" customWidth="1"/>
    <col min="758" max="758" width="1.5703125" style="65" customWidth="1"/>
    <col min="759" max="1007" width="9.140625" style="65"/>
    <col min="1008" max="1008" width="24.7109375" style="65" customWidth="1"/>
    <col min="1009" max="1009" width="2" style="65" customWidth="1"/>
    <col min="1010" max="1010" width="15.28515625" style="65" customWidth="1"/>
    <col min="1011" max="1011" width="6.5703125" style="65" customWidth="1"/>
    <col min="1012" max="1012" width="7.140625" style="65" customWidth="1"/>
    <col min="1013" max="1013" width="13.28515625" style="65" customWidth="1"/>
    <col min="1014" max="1014" width="1.5703125" style="65" customWidth="1"/>
    <col min="1015" max="1263" width="9.140625" style="65"/>
    <col min="1264" max="1264" width="24.7109375" style="65" customWidth="1"/>
    <col min="1265" max="1265" width="2" style="65" customWidth="1"/>
    <col min="1266" max="1266" width="15.28515625" style="65" customWidth="1"/>
    <col min="1267" max="1267" width="6.5703125" style="65" customWidth="1"/>
    <col min="1268" max="1268" width="7.140625" style="65" customWidth="1"/>
    <col min="1269" max="1269" width="13.28515625" style="65" customWidth="1"/>
    <col min="1270" max="1270" width="1.5703125" style="65" customWidth="1"/>
    <col min="1271" max="1519" width="9.140625" style="65"/>
    <col min="1520" max="1520" width="24.7109375" style="65" customWidth="1"/>
    <col min="1521" max="1521" width="2" style="65" customWidth="1"/>
    <col min="1522" max="1522" width="15.28515625" style="65" customWidth="1"/>
    <col min="1523" max="1523" width="6.5703125" style="65" customWidth="1"/>
    <col min="1524" max="1524" width="7.140625" style="65" customWidth="1"/>
    <col min="1525" max="1525" width="13.28515625" style="65" customWidth="1"/>
    <col min="1526" max="1526" width="1.5703125" style="65" customWidth="1"/>
    <col min="1527" max="1775" width="9.140625" style="65"/>
    <col min="1776" max="1776" width="24.7109375" style="65" customWidth="1"/>
    <col min="1777" max="1777" width="2" style="65" customWidth="1"/>
    <col min="1778" max="1778" width="15.28515625" style="65" customWidth="1"/>
    <col min="1779" max="1779" width="6.5703125" style="65" customWidth="1"/>
    <col min="1780" max="1780" width="7.140625" style="65" customWidth="1"/>
    <col min="1781" max="1781" width="13.28515625" style="65" customWidth="1"/>
    <col min="1782" max="1782" width="1.5703125" style="65" customWidth="1"/>
    <col min="1783" max="2031" width="9.140625" style="65"/>
    <col min="2032" max="2032" width="24.7109375" style="65" customWidth="1"/>
    <col min="2033" max="2033" width="2" style="65" customWidth="1"/>
    <col min="2034" max="2034" width="15.28515625" style="65" customWidth="1"/>
    <col min="2035" max="2035" width="6.5703125" style="65" customWidth="1"/>
    <col min="2036" max="2036" width="7.140625" style="65" customWidth="1"/>
    <col min="2037" max="2037" width="13.28515625" style="65" customWidth="1"/>
    <col min="2038" max="2038" width="1.5703125" style="65" customWidth="1"/>
    <col min="2039" max="2287" width="9.140625" style="65"/>
    <col min="2288" max="2288" width="24.7109375" style="65" customWidth="1"/>
    <col min="2289" max="2289" width="2" style="65" customWidth="1"/>
    <col min="2290" max="2290" width="15.28515625" style="65" customWidth="1"/>
    <col min="2291" max="2291" width="6.5703125" style="65" customWidth="1"/>
    <col min="2292" max="2292" width="7.140625" style="65" customWidth="1"/>
    <col min="2293" max="2293" width="13.28515625" style="65" customWidth="1"/>
    <col min="2294" max="2294" width="1.5703125" style="65" customWidth="1"/>
    <col min="2295" max="2543" width="9.140625" style="65"/>
    <col min="2544" max="2544" width="24.7109375" style="65" customWidth="1"/>
    <col min="2545" max="2545" width="2" style="65" customWidth="1"/>
    <col min="2546" max="2546" width="15.28515625" style="65" customWidth="1"/>
    <col min="2547" max="2547" width="6.5703125" style="65" customWidth="1"/>
    <col min="2548" max="2548" width="7.140625" style="65" customWidth="1"/>
    <col min="2549" max="2549" width="13.28515625" style="65" customWidth="1"/>
    <col min="2550" max="2550" width="1.5703125" style="65" customWidth="1"/>
    <col min="2551" max="2799" width="9.140625" style="65"/>
    <col min="2800" max="2800" width="24.7109375" style="65" customWidth="1"/>
    <col min="2801" max="2801" width="2" style="65" customWidth="1"/>
    <col min="2802" max="2802" width="15.28515625" style="65" customWidth="1"/>
    <col min="2803" max="2803" width="6.5703125" style="65" customWidth="1"/>
    <col min="2804" max="2804" width="7.140625" style="65" customWidth="1"/>
    <col min="2805" max="2805" width="13.28515625" style="65" customWidth="1"/>
    <col min="2806" max="2806" width="1.5703125" style="65" customWidth="1"/>
    <col min="2807" max="3055" width="9.140625" style="65"/>
    <col min="3056" max="3056" width="24.7109375" style="65" customWidth="1"/>
    <col min="3057" max="3057" width="2" style="65" customWidth="1"/>
    <col min="3058" max="3058" width="15.28515625" style="65" customWidth="1"/>
    <col min="3059" max="3059" width="6.5703125" style="65" customWidth="1"/>
    <col min="3060" max="3060" width="7.140625" style="65" customWidth="1"/>
    <col min="3061" max="3061" width="13.28515625" style="65" customWidth="1"/>
    <col min="3062" max="3062" width="1.5703125" style="65" customWidth="1"/>
    <col min="3063" max="3311" width="9.140625" style="65"/>
    <col min="3312" max="3312" width="24.7109375" style="65" customWidth="1"/>
    <col min="3313" max="3313" width="2" style="65" customWidth="1"/>
    <col min="3314" max="3314" width="15.28515625" style="65" customWidth="1"/>
    <col min="3315" max="3315" width="6.5703125" style="65" customWidth="1"/>
    <col min="3316" max="3316" width="7.140625" style="65" customWidth="1"/>
    <col min="3317" max="3317" width="13.28515625" style="65" customWidth="1"/>
    <col min="3318" max="3318" width="1.5703125" style="65" customWidth="1"/>
    <col min="3319" max="3567" width="9.140625" style="65"/>
    <col min="3568" max="3568" width="24.7109375" style="65" customWidth="1"/>
    <col min="3569" max="3569" width="2" style="65" customWidth="1"/>
    <col min="3570" max="3570" width="15.28515625" style="65" customWidth="1"/>
    <col min="3571" max="3571" width="6.5703125" style="65" customWidth="1"/>
    <col min="3572" max="3572" width="7.140625" style="65" customWidth="1"/>
    <col min="3573" max="3573" width="13.28515625" style="65" customWidth="1"/>
    <col min="3574" max="3574" width="1.5703125" style="65" customWidth="1"/>
    <col min="3575" max="3823" width="9.140625" style="65"/>
    <col min="3824" max="3824" width="24.7109375" style="65" customWidth="1"/>
    <col min="3825" max="3825" width="2" style="65" customWidth="1"/>
    <col min="3826" max="3826" width="15.28515625" style="65" customWidth="1"/>
    <col min="3827" max="3827" width="6.5703125" style="65" customWidth="1"/>
    <col min="3828" max="3828" width="7.140625" style="65" customWidth="1"/>
    <col min="3829" max="3829" width="13.28515625" style="65" customWidth="1"/>
    <col min="3830" max="3830" width="1.5703125" style="65" customWidth="1"/>
    <col min="3831" max="4079" width="9.140625" style="65"/>
    <col min="4080" max="4080" width="24.7109375" style="65" customWidth="1"/>
    <col min="4081" max="4081" width="2" style="65" customWidth="1"/>
    <col min="4082" max="4082" width="15.28515625" style="65" customWidth="1"/>
    <col min="4083" max="4083" width="6.5703125" style="65" customWidth="1"/>
    <col min="4084" max="4084" width="7.140625" style="65" customWidth="1"/>
    <col min="4085" max="4085" width="13.28515625" style="65" customWidth="1"/>
    <col min="4086" max="4086" width="1.5703125" style="65" customWidth="1"/>
    <col min="4087" max="4335" width="9.140625" style="65"/>
    <col min="4336" max="4336" width="24.7109375" style="65" customWidth="1"/>
    <col min="4337" max="4337" width="2" style="65" customWidth="1"/>
    <col min="4338" max="4338" width="15.28515625" style="65" customWidth="1"/>
    <col min="4339" max="4339" width="6.5703125" style="65" customWidth="1"/>
    <col min="4340" max="4340" width="7.140625" style="65" customWidth="1"/>
    <col min="4341" max="4341" width="13.28515625" style="65" customWidth="1"/>
    <col min="4342" max="4342" width="1.5703125" style="65" customWidth="1"/>
    <col min="4343" max="4591" width="9.140625" style="65"/>
    <col min="4592" max="4592" width="24.7109375" style="65" customWidth="1"/>
    <col min="4593" max="4593" width="2" style="65" customWidth="1"/>
    <col min="4594" max="4594" width="15.28515625" style="65" customWidth="1"/>
    <col min="4595" max="4595" width="6.5703125" style="65" customWidth="1"/>
    <col min="4596" max="4596" width="7.140625" style="65" customWidth="1"/>
    <col min="4597" max="4597" width="13.28515625" style="65" customWidth="1"/>
    <col min="4598" max="4598" width="1.5703125" style="65" customWidth="1"/>
    <col min="4599" max="4847" width="9.140625" style="65"/>
    <col min="4848" max="4848" width="24.7109375" style="65" customWidth="1"/>
    <col min="4849" max="4849" width="2" style="65" customWidth="1"/>
    <col min="4850" max="4850" width="15.28515625" style="65" customWidth="1"/>
    <col min="4851" max="4851" width="6.5703125" style="65" customWidth="1"/>
    <col min="4852" max="4852" width="7.140625" style="65" customWidth="1"/>
    <col min="4853" max="4853" width="13.28515625" style="65" customWidth="1"/>
    <col min="4854" max="4854" width="1.5703125" style="65" customWidth="1"/>
    <col min="4855" max="5103" width="9.140625" style="65"/>
    <col min="5104" max="5104" width="24.7109375" style="65" customWidth="1"/>
    <col min="5105" max="5105" width="2" style="65" customWidth="1"/>
    <col min="5106" max="5106" width="15.28515625" style="65" customWidth="1"/>
    <col min="5107" max="5107" width="6.5703125" style="65" customWidth="1"/>
    <col min="5108" max="5108" width="7.140625" style="65" customWidth="1"/>
    <col min="5109" max="5109" width="13.28515625" style="65" customWidth="1"/>
    <col min="5110" max="5110" width="1.5703125" style="65" customWidth="1"/>
    <col min="5111" max="5359" width="9.140625" style="65"/>
    <col min="5360" max="5360" width="24.7109375" style="65" customWidth="1"/>
    <col min="5361" max="5361" width="2" style="65" customWidth="1"/>
    <col min="5362" max="5362" width="15.28515625" style="65" customWidth="1"/>
    <col min="5363" max="5363" width="6.5703125" style="65" customWidth="1"/>
    <col min="5364" max="5364" width="7.140625" style="65" customWidth="1"/>
    <col min="5365" max="5365" width="13.28515625" style="65" customWidth="1"/>
    <col min="5366" max="5366" width="1.5703125" style="65" customWidth="1"/>
    <col min="5367" max="5615" width="9.140625" style="65"/>
    <col min="5616" max="5616" width="24.7109375" style="65" customWidth="1"/>
    <col min="5617" max="5617" width="2" style="65" customWidth="1"/>
    <col min="5618" max="5618" width="15.28515625" style="65" customWidth="1"/>
    <col min="5619" max="5619" width="6.5703125" style="65" customWidth="1"/>
    <col min="5620" max="5620" width="7.140625" style="65" customWidth="1"/>
    <col min="5621" max="5621" width="13.28515625" style="65" customWidth="1"/>
    <col min="5622" max="5622" width="1.5703125" style="65" customWidth="1"/>
    <col min="5623" max="5871" width="9.140625" style="65"/>
    <col min="5872" max="5872" width="24.7109375" style="65" customWidth="1"/>
    <col min="5873" max="5873" width="2" style="65" customWidth="1"/>
    <col min="5874" max="5874" width="15.28515625" style="65" customWidth="1"/>
    <col min="5875" max="5875" width="6.5703125" style="65" customWidth="1"/>
    <col min="5876" max="5876" width="7.140625" style="65" customWidth="1"/>
    <col min="5877" max="5877" width="13.28515625" style="65" customWidth="1"/>
    <col min="5878" max="5878" width="1.5703125" style="65" customWidth="1"/>
    <col min="5879" max="6127" width="9.140625" style="65"/>
    <col min="6128" max="6128" width="24.7109375" style="65" customWidth="1"/>
    <col min="6129" max="6129" width="2" style="65" customWidth="1"/>
    <col min="6130" max="6130" width="15.28515625" style="65" customWidth="1"/>
    <col min="6131" max="6131" width="6.5703125" style="65" customWidth="1"/>
    <col min="6132" max="6132" width="7.140625" style="65" customWidth="1"/>
    <col min="6133" max="6133" width="13.28515625" style="65" customWidth="1"/>
    <col min="6134" max="6134" width="1.5703125" style="65" customWidth="1"/>
    <col min="6135" max="6383" width="9.140625" style="65"/>
    <col min="6384" max="6384" width="24.7109375" style="65" customWidth="1"/>
    <col min="6385" max="6385" width="2" style="65" customWidth="1"/>
    <col min="6386" max="6386" width="15.28515625" style="65" customWidth="1"/>
    <col min="6387" max="6387" width="6.5703125" style="65" customWidth="1"/>
    <col min="6388" max="6388" width="7.140625" style="65" customWidth="1"/>
    <col min="6389" max="6389" width="13.28515625" style="65" customWidth="1"/>
    <col min="6390" max="6390" width="1.5703125" style="65" customWidth="1"/>
    <col min="6391" max="6639" width="9.140625" style="65"/>
    <col min="6640" max="6640" width="24.7109375" style="65" customWidth="1"/>
    <col min="6641" max="6641" width="2" style="65" customWidth="1"/>
    <col min="6642" max="6642" width="15.28515625" style="65" customWidth="1"/>
    <col min="6643" max="6643" width="6.5703125" style="65" customWidth="1"/>
    <col min="6644" max="6644" width="7.140625" style="65" customWidth="1"/>
    <col min="6645" max="6645" width="13.28515625" style="65" customWidth="1"/>
    <col min="6646" max="6646" width="1.5703125" style="65" customWidth="1"/>
    <col min="6647" max="6895" width="9.140625" style="65"/>
    <col min="6896" max="6896" width="24.7109375" style="65" customWidth="1"/>
    <col min="6897" max="6897" width="2" style="65" customWidth="1"/>
    <col min="6898" max="6898" width="15.28515625" style="65" customWidth="1"/>
    <col min="6899" max="6899" width="6.5703125" style="65" customWidth="1"/>
    <col min="6900" max="6900" width="7.140625" style="65" customWidth="1"/>
    <col min="6901" max="6901" width="13.28515625" style="65" customWidth="1"/>
    <col min="6902" max="6902" width="1.5703125" style="65" customWidth="1"/>
    <col min="6903" max="7151" width="9.140625" style="65"/>
    <col min="7152" max="7152" width="24.7109375" style="65" customWidth="1"/>
    <col min="7153" max="7153" width="2" style="65" customWidth="1"/>
    <col min="7154" max="7154" width="15.28515625" style="65" customWidth="1"/>
    <col min="7155" max="7155" width="6.5703125" style="65" customWidth="1"/>
    <col min="7156" max="7156" width="7.140625" style="65" customWidth="1"/>
    <col min="7157" max="7157" width="13.28515625" style="65" customWidth="1"/>
    <col min="7158" max="7158" width="1.5703125" style="65" customWidth="1"/>
    <col min="7159" max="7407" width="9.140625" style="65"/>
    <col min="7408" max="7408" width="24.7109375" style="65" customWidth="1"/>
    <col min="7409" max="7409" width="2" style="65" customWidth="1"/>
    <col min="7410" max="7410" width="15.28515625" style="65" customWidth="1"/>
    <col min="7411" max="7411" width="6.5703125" style="65" customWidth="1"/>
    <col min="7412" max="7412" width="7.140625" style="65" customWidth="1"/>
    <col min="7413" max="7413" width="13.28515625" style="65" customWidth="1"/>
    <col min="7414" max="7414" width="1.5703125" style="65" customWidth="1"/>
    <col min="7415" max="7663" width="9.140625" style="65"/>
    <col min="7664" max="7664" width="24.7109375" style="65" customWidth="1"/>
    <col min="7665" max="7665" width="2" style="65" customWidth="1"/>
    <col min="7666" max="7666" width="15.28515625" style="65" customWidth="1"/>
    <col min="7667" max="7667" width="6.5703125" style="65" customWidth="1"/>
    <col min="7668" max="7668" width="7.140625" style="65" customWidth="1"/>
    <col min="7669" max="7669" width="13.28515625" style="65" customWidth="1"/>
    <col min="7670" max="7670" width="1.5703125" style="65" customWidth="1"/>
    <col min="7671" max="7919" width="9.140625" style="65"/>
    <col min="7920" max="7920" width="24.7109375" style="65" customWidth="1"/>
    <col min="7921" max="7921" width="2" style="65" customWidth="1"/>
    <col min="7922" max="7922" width="15.28515625" style="65" customWidth="1"/>
    <col min="7923" max="7923" width="6.5703125" style="65" customWidth="1"/>
    <col min="7924" max="7924" width="7.140625" style="65" customWidth="1"/>
    <col min="7925" max="7925" width="13.28515625" style="65" customWidth="1"/>
    <col min="7926" max="7926" width="1.5703125" style="65" customWidth="1"/>
    <col min="7927" max="8175" width="9.140625" style="65"/>
    <col min="8176" max="8176" width="24.7109375" style="65" customWidth="1"/>
    <col min="8177" max="8177" width="2" style="65" customWidth="1"/>
    <col min="8178" max="8178" width="15.28515625" style="65" customWidth="1"/>
    <col min="8179" max="8179" width="6.5703125" style="65" customWidth="1"/>
    <col min="8180" max="8180" width="7.140625" style="65" customWidth="1"/>
    <col min="8181" max="8181" width="13.28515625" style="65" customWidth="1"/>
    <col min="8182" max="8182" width="1.5703125" style="65" customWidth="1"/>
    <col min="8183" max="8431" width="9.140625" style="65"/>
    <col min="8432" max="8432" width="24.7109375" style="65" customWidth="1"/>
    <col min="8433" max="8433" width="2" style="65" customWidth="1"/>
    <col min="8434" max="8434" width="15.28515625" style="65" customWidth="1"/>
    <col min="8435" max="8435" width="6.5703125" style="65" customWidth="1"/>
    <col min="8436" max="8436" width="7.140625" style="65" customWidth="1"/>
    <col min="8437" max="8437" width="13.28515625" style="65" customWidth="1"/>
    <col min="8438" max="8438" width="1.5703125" style="65" customWidth="1"/>
    <col min="8439" max="8687" width="9.140625" style="65"/>
    <col min="8688" max="8688" width="24.7109375" style="65" customWidth="1"/>
    <col min="8689" max="8689" width="2" style="65" customWidth="1"/>
    <col min="8690" max="8690" width="15.28515625" style="65" customWidth="1"/>
    <col min="8691" max="8691" width="6.5703125" style="65" customWidth="1"/>
    <col min="8692" max="8692" width="7.140625" style="65" customWidth="1"/>
    <col min="8693" max="8693" width="13.28515625" style="65" customWidth="1"/>
    <col min="8694" max="8694" width="1.5703125" style="65" customWidth="1"/>
    <col min="8695" max="8943" width="9.140625" style="65"/>
    <col min="8944" max="8944" width="24.7109375" style="65" customWidth="1"/>
    <col min="8945" max="8945" width="2" style="65" customWidth="1"/>
    <col min="8946" max="8946" width="15.28515625" style="65" customWidth="1"/>
    <col min="8947" max="8947" width="6.5703125" style="65" customWidth="1"/>
    <col min="8948" max="8948" width="7.140625" style="65" customWidth="1"/>
    <col min="8949" max="8949" width="13.28515625" style="65" customWidth="1"/>
    <col min="8950" max="8950" width="1.5703125" style="65" customWidth="1"/>
    <col min="8951" max="9199" width="9.140625" style="65"/>
    <col min="9200" max="9200" width="24.7109375" style="65" customWidth="1"/>
    <col min="9201" max="9201" width="2" style="65" customWidth="1"/>
    <col min="9202" max="9202" width="15.28515625" style="65" customWidth="1"/>
    <col min="9203" max="9203" width="6.5703125" style="65" customWidth="1"/>
    <col min="9204" max="9204" width="7.140625" style="65" customWidth="1"/>
    <col min="9205" max="9205" width="13.28515625" style="65" customWidth="1"/>
    <col min="9206" max="9206" width="1.5703125" style="65" customWidth="1"/>
    <col min="9207" max="9455" width="9.140625" style="65"/>
    <col min="9456" max="9456" width="24.7109375" style="65" customWidth="1"/>
    <col min="9457" max="9457" width="2" style="65" customWidth="1"/>
    <col min="9458" max="9458" width="15.28515625" style="65" customWidth="1"/>
    <col min="9459" max="9459" width="6.5703125" style="65" customWidth="1"/>
    <col min="9460" max="9460" width="7.140625" style="65" customWidth="1"/>
    <col min="9461" max="9461" width="13.28515625" style="65" customWidth="1"/>
    <col min="9462" max="9462" width="1.5703125" style="65" customWidth="1"/>
    <col min="9463" max="9711" width="9.140625" style="65"/>
    <col min="9712" max="9712" width="24.7109375" style="65" customWidth="1"/>
    <col min="9713" max="9713" width="2" style="65" customWidth="1"/>
    <col min="9714" max="9714" width="15.28515625" style="65" customWidth="1"/>
    <col min="9715" max="9715" width="6.5703125" style="65" customWidth="1"/>
    <col min="9716" max="9716" width="7.140625" style="65" customWidth="1"/>
    <col min="9717" max="9717" width="13.28515625" style="65" customWidth="1"/>
    <col min="9718" max="9718" width="1.5703125" style="65" customWidth="1"/>
    <col min="9719" max="9967" width="9.140625" style="65"/>
    <col min="9968" max="9968" width="24.7109375" style="65" customWidth="1"/>
    <col min="9969" max="9969" width="2" style="65" customWidth="1"/>
    <col min="9970" max="9970" width="15.28515625" style="65" customWidth="1"/>
    <col min="9971" max="9971" width="6.5703125" style="65" customWidth="1"/>
    <col min="9972" max="9972" width="7.140625" style="65" customWidth="1"/>
    <col min="9973" max="9973" width="13.28515625" style="65" customWidth="1"/>
    <col min="9974" max="9974" width="1.5703125" style="65" customWidth="1"/>
    <col min="9975" max="10223" width="9.140625" style="65"/>
    <col min="10224" max="10224" width="24.7109375" style="65" customWidth="1"/>
    <col min="10225" max="10225" width="2" style="65" customWidth="1"/>
    <col min="10226" max="10226" width="15.28515625" style="65" customWidth="1"/>
    <col min="10227" max="10227" width="6.5703125" style="65" customWidth="1"/>
    <col min="10228" max="10228" width="7.140625" style="65" customWidth="1"/>
    <col min="10229" max="10229" width="13.28515625" style="65" customWidth="1"/>
    <col min="10230" max="10230" width="1.5703125" style="65" customWidth="1"/>
    <col min="10231" max="10479" width="9.140625" style="65"/>
    <col min="10480" max="10480" width="24.7109375" style="65" customWidth="1"/>
    <col min="10481" max="10481" width="2" style="65" customWidth="1"/>
    <col min="10482" max="10482" width="15.28515625" style="65" customWidth="1"/>
    <col min="10483" max="10483" width="6.5703125" style="65" customWidth="1"/>
    <col min="10484" max="10484" width="7.140625" style="65" customWidth="1"/>
    <col min="10485" max="10485" width="13.28515625" style="65" customWidth="1"/>
    <col min="10486" max="10486" width="1.5703125" style="65" customWidth="1"/>
    <col min="10487" max="10735" width="9.140625" style="65"/>
    <col min="10736" max="10736" width="24.7109375" style="65" customWidth="1"/>
    <col min="10737" max="10737" width="2" style="65" customWidth="1"/>
    <col min="10738" max="10738" width="15.28515625" style="65" customWidth="1"/>
    <col min="10739" max="10739" width="6.5703125" style="65" customWidth="1"/>
    <col min="10740" max="10740" width="7.140625" style="65" customWidth="1"/>
    <col min="10741" max="10741" width="13.28515625" style="65" customWidth="1"/>
    <col min="10742" max="10742" width="1.5703125" style="65" customWidth="1"/>
    <col min="10743" max="10991" width="9.140625" style="65"/>
    <col min="10992" max="10992" width="24.7109375" style="65" customWidth="1"/>
    <col min="10993" max="10993" width="2" style="65" customWidth="1"/>
    <col min="10994" max="10994" width="15.28515625" style="65" customWidth="1"/>
    <col min="10995" max="10995" width="6.5703125" style="65" customWidth="1"/>
    <col min="10996" max="10996" width="7.140625" style="65" customWidth="1"/>
    <col min="10997" max="10997" width="13.28515625" style="65" customWidth="1"/>
    <col min="10998" max="10998" width="1.5703125" style="65" customWidth="1"/>
    <col min="10999" max="11247" width="9.140625" style="65"/>
    <col min="11248" max="11248" width="24.7109375" style="65" customWidth="1"/>
    <col min="11249" max="11249" width="2" style="65" customWidth="1"/>
    <col min="11250" max="11250" width="15.28515625" style="65" customWidth="1"/>
    <col min="11251" max="11251" width="6.5703125" style="65" customWidth="1"/>
    <col min="11252" max="11252" width="7.140625" style="65" customWidth="1"/>
    <col min="11253" max="11253" width="13.28515625" style="65" customWidth="1"/>
    <col min="11254" max="11254" width="1.5703125" style="65" customWidth="1"/>
    <col min="11255" max="11503" width="9.140625" style="65"/>
    <col min="11504" max="11504" width="24.7109375" style="65" customWidth="1"/>
    <col min="11505" max="11505" width="2" style="65" customWidth="1"/>
    <col min="11506" max="11506" width="15.28515625" style="65" customWidth="1"/>
    <col min="11507" max="11507" width="6.5703125" style="65" customWidth="1"/>
    <col min="11508" max="11508" width="7.140625" style="65" customWidth="1"/>
    <col min="11509" max="11509" width="13.28515625" style="65" customWidth="1"/>
    <col min="11510" max="11510" width="1.5703125" style="65" customWidth="1"/>
    <col min="11511" max="11759" width="9.140625" style="65"/>
    <col min="11760" max="11760" width="24.7109375" style="65" customWidth="1"/>
    <col min="11761" max="11761" width="2" style="65" customWidth="1"/>
    <col min="11762" max="11762" width="15.28515625" style="65" customWidth="1"/>
    <col min="11763" max="11763" width="6.5703125" style="65" customWidth="1"/>
    <col min="11764" max="11764" width="7.140625" style="65" customWidth="1"/>
    <col min="11765" max="11765" width="13.28515625" style="65" customWidth="1"/>
    <col min="11766" max="11766" width="1.5703125" style="65" customWidth="1"/>
    <col min="11767" max="12015" width="9.140625" style="65"/>
    <col min="12016" max="12016" width="24.7109375" style="65" customWidth="1"/>
    <col min="12017" max="12017" width="2" style="65" customWidth="1"/>
    <col min="12018" max="12018" width="15.28515625" style="65" customWidth="1"/>
    <col min="12019" max="12019" width="6.5703125" style="65" customWidth="1"/>
    <col min="12020" max="12020" width="7.140625" style="65" customWidth="1"/>
    <col min="12021" max="12021" width="13.28515625" style="65" customWidth="1"/>
    <col min="12022" max="12022" width="1.5703125" style="65" customWidth="1"/>
    <col min="12023" max="12271" width="9.140625" style="65"/>
    <col min="12272" max="12272" width="24.7109375" style="65" customWidth="1"/>
    <col min="12273" max="12273" width="2" style="65" customWidth="1"/>
    <col min="12274" max="12274" width="15.28515625" style="65" customWidth="1"/>
    <col min="12275" max="12275" width="6.5703125" style="65" customWidth="1"/>
    <col min="12276" max="12276" width="7.140625" style="65" customWidth="1"/>
    <col min="12277" max="12277" width="13.28515625" style="65" customWidth="1"/>
    <col min="12278" max="12278" width="1.5703125" style="65" customWidth="1"/>
    <col min="12279" max="12527" width="9.140625" style="65"/>
    <col min="12528" max="12528" width="24.7109375" style="65" customWidth="1"/>
    <col min="12529" max="12529" width="2" style="65" customWidth="1"/>
    <col min="12530" max="12530" width="15.28515625" style="65" customWidth="1"/>
    <col min="12531" max="12531" width="6.5703125" style="65" customWidth="1"/>
    <col min="12532" max="12532" width="7.140625" style="65" customWidth="1"/>
    <col min="12533" max="12533" width="13.28515625" style="65" customWidth="1"/>
    <col min="12534" max="12534" width="1.5703125" style="65" customWidth="1"/>
    <col min="12535" max="12783" width="9.140625" style="65"/>
    <col min="12784" max="12784" width="24.7109375" style="65" customWidth="1"/>
    <col min="12785" max="12785" width="2" style="65" customWidth="1"/>
    <col min="12786" max="12786" width="15.28515625" style="65" customWidth="1"/>
    <col min="12787" max="12787" width="6.5703125" style="65" customWidth="1"/>
    <col min="12788" max="12788" width="7.140625" style="65" customWidth="1"/>
    <col min="12789" max="12789" width="13.28515625" style="65" customWidth="1"/>
    <col min="12790" max="12790" width="1.5703125" style="65" customWidth="1"/>
    <col min="12791" max="13039" width="9.140625" style="65"/>
    <col min="13040" max="13040" width="24.7109375" style="65" customWidth="1"/>
    <col min="13041" max="13041" width="2" style="65" customWidth="1"/>
    <col min="13042" max="13042" width="15.28515625" style="65" customWidth="1"/>
    <col min="13043" max="13043" width="6.5703125" style="65" customWidth="1"/>
    <col min="13044" max="13044" width="7.140625" style="65" customWidth="1"/>
    <col min="13045" max="13045" width="13.28515625" style="65" customWidth="1"/>
    <col min="13046" max="13046" width="1.5703125" style="65" customWidth="1"/>
    <col min="13047" max="13295" width="9.140625" style="65"/>
    <col min="13296" max="13296" width="24.7109375" style="65" customWidth="1"/>
    <col min="13297" max="13297" width="2" style="65" customWidth="1"/>
    <col min="13298" max="13298" width="15.28515625" style="65" customWidth="1"/>
    <col min="13299" max="13299" width="6.5703125" style="65" customWidth="1"/>
    <col min="13300" max="13300" width="7.140625" style="65" customWidth="1"/>
    <col min="13301" max="13301" width="13.28515625" style="65" customWidth="1"/>
    <col min="13302" max="13302" width="1.5703125" style="65" customWidth="1"/>
    <col min="13303" max="13551" width="9.140625" style="65"/>
    <col min="13552" max="13552" width="24.7109375" style="65" customWidth="1"/>
    <col min="13553" max="13553" width="2" style="65" customWidth="1"/>
    <col min="13554" max="13554" width="15.28515625" style="65" customWidth="1"/>
    <col min="13555" max="13555" width="6.5703125" style="65" customWidth="1"/>
    <col min="13556" max="13556" width="7.140625" style="65" customWidth="1"/>
    <col min="13557" max="13557" width="13.28515625" style="65" customWidth="1"/>
    <col min="13558" max="13558" width="1.5703125" style="65" customWidth="1"/>
    <col min="13559" max="13807" width="9.140625" style="65"/>
    <col min="13808" max="13808" width="24.7109375" style="65" customWidth="1"/>
    <col min="13809" max="13809" width="2" style="65" customWidth="1"/>
    <col min="13810" max="13810" width="15.28515625" style="65" customWidth="1"/>
    <col min="13811" max="13811" width="6.5703125" style="65" customWidth="1"/>
    <col min="13812" max="13812" width="7.140625" style="65" customWidth="1"/>
    <col min="13813" max="13813" width="13.28515625" style="65" customWidth="1"/>
    <col min="13814" max="13814" width="1.5703125" style="65" customWidth="1"/>
    <col min="13815" max="14063" width="9.140625" style="65"/>
    <col min="14064" max="14064" width="24.7109375" style="65" customWidth="1"/>
    <col min="14065" max="14065" width="2" style="65" customWidth="1"/>
    <col min="14066" max="14066" width="15.28515625" style="65" customWidth="1"/>
    <col min="14067" max="14067" width="6.5703125" style="65" customWidth="1"/>
    <col min="14068" max="14068" width="7.140625" style="65" customWidth="1"/>
    <col min="14069" max="14069" width="13.28515625" style="65" customWidth="1"/>
    <col min="14070" max="14070" width="1.5703125" style="65" customWidth="1"/>
    <col min="14071" max="14319" width="9.140625" style="65"/>
    <col min="14320" max="14320" width="24.7109375" style="65" customWidth="1"/>
    <col min="14321" max="14321" width="2" style="65" customWidth="1"/>
    <col min="14322" max="14322" width="15.28515625" style="65" customWidth="1"/>
    <col min="14323" max="14323" width="6.5703125" style="65" customWidth="1"/>
    <col min="14324" max="14324" width="7.140625" style="65" customWidth="1"/>
    <col min="14325" max="14325" width="13.28515625" style="65" customWidth="1"/>
    <col min="14326" max="14326" width="1.5703125" style="65" customWidth="1"/>
    <col min="14327" max="14575" width="9.140625" style="65"/>
    <col min="14576" max="14576" width="24.7109375" style="65" customWidth="1"/>
    <col min="14577" max="14577" width="2" style="65" customWidth="1"/>
    <col min="14578" max="14578" width="15.28515625" style="65" customWidth="1"/>
    <col min="14579" max="14579" width="6.5703125" style="65" customWidth="1"/>
    <col min="14580" max="14580" width="7.140625" style="65" customWidth="1"/>
    <col min="14581" max="14581" width="13.28515625" style="65" customWidth="1"/>
    <col min="14582" max="14582" width="1.5703125" style="65" customWidth="1"/>
    <col min="14583" max="14831" width="9.140625" style="65"/>
    <col min="14832" max="14832" width="24.7109375" style="65" customWidth="1"/>
    <col min="14833" max="14833" width="2" style="65" customWidth="1"/>
    <col min="14834" max="14834" width="15.28515625" style="65" customWidth="1"/>
    <col min="14835" max="14835" width="6.5703125" style="65" customWidth="1"/>
    <col min="14836" max="14836" width="7.140625" style="65" customWidth="1"/>
    <col min="14837" max="14837" width="13.28515625" style="65" customWidth="1"/>
    <col min="14838" max="14838" width="1.5703125" style="65" customWidth="1"/>
    <col min="14839" max="15087" width="9.140625" style="65"/>
    <col min="15088" max="15088" width="24.7109375" style="65" customWidth="1"/>
    <col min="15089" max="15089" width="2" style="65" customWidth="1"/>
    <col min="15090" max="15090" width="15.28515625" style="65" customWidth="1"/>
    <col min="15091" max="15091" width="6.5703125" style="65" customWidth="1"/>
    <col min="15092" max="15092" width="7.140625" style="65" customWidth="1"/>
    <col min="15093" max="15093" width="13.28515625" style="65" customWidth="1"/>
    <col min="15094" max="15094" width="1.5703125" style="65" customWidth="1"/>
    <col min="15095" max="15343" width="9.140625" style="65"/>
    <col min="15344" max="15344" width="24.7109375" style="65" customWidth="1"/>
    <col min="15345" max="15345" width="2" style="65" customWidth="1"/>
    <col min="15346" max="15346" width="15.28515625" style="65" customWidth="1"/>
    <col min="15347" max="15347" width="6.5703125" style="65" customWidth="1"/>
    <col min="15348" max="15348" width="7.140625" style="65" customWidth="1"/>
    <col min="15349" max="15349" width="13.28515625" style="65" customWidth="1"/>
    <col min="15350" max="15350" width="1.5703125" style="65" customWidth="1"/>
    <col min="15351" max="15599" width="9.140625" style="65"/>
    <col min="15600" max="15600" width="24.7109375" style="65" customWidth="1"/>
    <col min="15601" max="15601" width="2" style="65" customWidth="1"/>
    <col min="15602" max="15602" width="15.28515625" style="65" customWidth="1"/>
    <col min="15603" max="15603" width="6.5703125" style="65" customWidth="1"/>
    <col min="15604" max="15604" width="7.140625" style="65" customWidth="1"/>
    <col min="15605" max="15605" width="13.28515625" style="65" customWidth="1"/>
    <col min="15606" max="15606" width="1.5703125" style="65" customWidth="1"/>
    <col min="15607" max="15855" width="9.140625" style="65"/>
    <col min="15856" max="15856" width="24.7109375" style="65" customWidth="1"/>
    <col min="15857" max="15857" width="2" style="65" customWidth="1"/>
    <col min="15858" max="15858" width="15.28515625" style="65" customWidth="1"/>
    <col min="15859" max="15859" width="6.5703125" style="65" customWidth="1"/>
    <col min="15860" max="15860" width="7.140625" style="65" customWidth="1"/>
    <col min="15861" max="15861" width="13.28515625" style="65" customWidth="1"/>
    <col min="15862" max="15862" width="1.5703125" style="65" customWidth="1"/>
    <col min="15863" max="16111" width="9.140625" style="65"/>
    <col min="16112" max="16112" width="24.7109375" style="65" customWidth="1"/>
    <col min="16113" max="16113" width="2" style="65" customWidth="1"/>
    <col min="16114" max="16114" width="15.28515625" style="65" customWidth="1"/>
    <col min="16115" max="16115" width="6.5703125" style="65" customWidth="1"/>
    <col min="16116" max="16116" width="7.140625" style="65" customWidth="1"/>
    <col min="16117" max="16117" width="13.28515625" style="65" customWidth="1"/>
    <col min="16118" max="16118" width="1.5703125" style="65" customWidth="1"/>
    <col min="16119" max="16384" width="9.140625" style="65"/>
  </cols>
  <sheetData>
    <row r="1" spans="1:6" ht="11.25" customHeight="1" x14ac:dyDescent="0.2">
      <c r="A1" s="191" t="s">
        <v>89</v>
      </c>
      <c r="B1" s="191"/>
      <c r="C1" s="191"/>
      <c r="D1" s="191"/>
      <c r="E1" s="191"/>
      <c r="F1" s="191"/>
    </row>
    <row r="2" spans="1:6" ht="11.25" customHeight="1" x14ac:dyDescent="0.2">
      <c r="A2" s="191" t="s">
        <v>90</v>
      </c>
      <c r="B2" s="191"/>
      <c r="C2" s="191"/>
      <c r="D2" s="191"/>
      <c r="E2" s="191"/>
      <c r="F2" s="191"/>
    </row>
    <row r="3" spans="1:6" ht="11.25" customHeight="1" x14ac:dyDescent="0.2">
      <c r="A3" s="192"/>
      <c r="B3" s="192"/>
      <c r="C3" s="192"/>
      <c r="D3" s="192"/>
      <c r="E3" s="192"/>
      <c r="F3" s="192"/>
    </row>
    <row r="4" spans="1:6" ht="12.6" customHeight="1" x14ac:dyDescent="0.2">
      <c r="A4" s="111"/>
      <c r="B4" s="111"/>
      <c r="C4" s="195" t="s">
        <v>91</v>
      </c>
      <c r="D4" s="195"/>
      <c r="E4" s="193" t="s">
        <v>92</v>
      </c>
      <c r="F4" s="193"/>
    </row>
    <row r="5" spans="1:6" ht="11.25" customHeight="1" x14ac:dyDescent="0.2">
      <c r="A5" s="112" t="s">
        <v>93</v>
      </c>
      <c r="B5" s="148"/>
      <c r="C5" s="194" t="s">
        <v>94</v>
      </c>
      <c r="D5" s="194"/>
      <c r="E5" s="194" t="s">
        <v>95</v>
      </c>
      <c r="F5" s="194"/>
    </row>
    <row r="6" spans="1:6" ht="11.25" customHeight="1" x14ac:dyDescent="0.2">
      <c r="A6" s="113" t="s">
        <v>23</v>
      </c>
      <c r="B6" s="114"/>
      <c r="C6" s="115">
        <v>2780400</v>
      </c>
      <c r="D6" s="111"/>
      <c r="E6" s="97">
        <v>44494.502</v>
      </c>
      <c r="F6" s="111"/>
    </row>
    <row r="7" spans="1:6" ht="11.25" customHeight="1" x14ac:dyDescent="0.2">
      <c r="A7" s="116" t="s">
        <v>96</v>
      </c>
      <c r="B7" s="114"/>
      <c r="C7" s="117">
        <v>180</v>
      </c>
      <c r="D7" s="114"/>
      <c r="E7" s="100">
        <v>105.845</v>
      </c>
      <c r="F7" s="114"/>
    </row>
    <row r="8" spans="1:6" ht="12.6" customHeight="1" x14ac:dyDescent="0.2">
      <c r="A8" s="113" t="s">
        <v>97</v>
      </c>
      <c r="B8" s="114"/>
      <c r="C8" s="117">
        <v>13880</v>
      </c>
      <c r="D8" s="114"/>
      <c r="E8" s="100">
        <v>385.64</v>
      </c>
      <c r="F8" s="114"/>
    </row>
    <row r="9" spans="1:6" ht="11.25" customHeight="1" x14ac:dyDescent="0.2">
      <c r="A9" s="113" t="s">
        <v>75</v>
      </c>
      <c r="B9" s="114"/>
      <c r="C9" s="117">
        <v>430</v>
      </c>
      <c r="D9" s="114"/>
      <c r="E9" s="100">
        <v>286.64100000000002</v>
      </c>
      <c r="F9" s="114"/>
    </row>
    <row r="10" spans="1:6" ht="11.25" customHeight="1" x14ac:dyDescent="0.2">
      <c r="A10" s="113" t="s">
        <v>26</v>
      </c>
      <c r="B10" s="114"/>
      <c r="C10" s="117">
        <v>22966</v>
      </c>
      <c r="D10" s="114"/>
      <c r="E10" s="100">
        <v>383.07100000000003</v>
      </c>
      <c r="F10" s="114"/>
    </row>
    <row r="11" spans="1:6" ht="11.25" customHeight="1" x14ac:dyDescent="0.2">
      <c r="A11" s="113" t="s">
        <v>98</v>
      </c>
      <c r="B11" s="114"/>
      <c r="C11" s="117">
        <v>54</v>
      </c>
      <c r="D11" s="114"/>
      <c r="E11" s="100">
        <v>63.972999999999999</v>
      </c>
      <c r="F11" s="114"/>
    </row>
    <row r="12" spans="1:6" ht="11.25" customHeight="1" x14ac:dyDescent="0.2">
      <c r="A12" s="113" t="s">
        <v>27</v>
      </c>
      <c r="B12" s="114"/>
      <c r="C12" s="118">
        <v>1098581</v>
      </c>
      <c r="D12" s="114"/>
      <c r="E12" s="100">
        <v>11353.142</v>
      </c>
      <c r="F12" s="114"/>
    </row>
    <row r="13" spans="1:6" ht="11.25" customHeight="1" x14ac:dyDescent="0.2">
      <c r="A13" s="113" t="s">
        <v>28</v>
      </c>
      <c r="B13" s="114"/>
      <c r="C13" s="118">
        <v>8515770</v>
      </c>
      <c r="D13" s="114"/>
      <c r="E13" s="100">
        <v>209469.33300000001</v>
      </c>
      <c r="F13" s="114"/>
    </row>
    <row r="14" spans="1:6" ht="11.25" customHeight="1" x14ac:dyDescent="0.2">
      <c r="A14" s="113" t="s">
        <v>29</v>
      </c>
      <c r="B14" s="114"/>
      <c r="C14" s="117">
        <v>9984670</v>
      </c>
      <c r="D14" s="114"/>
      <c r="E14" s="100">
        <v>37057.764999999999</v>
      </c>
      <c r="F14" s="114"/>
    </row>
    <row r="15" spans="1:6" ht="11.25" customHeight="1" x14ac:dyDescent="0.2">
      <c r="A15" s="113" t="s">
        <v>30</v>
      </c>
      <c r="B15" s="114"/>
      <c r="C15" s="118">
        <v>756102</v>
      </c>
      <c r="D15" s="114"/>
      <c r="E15" s="100">
        <v>18729.16</v>
      </c>
      <c r="F15" s="114"/>
    </row>
    <row r="16" spans="1:6" ht="12.6" customHeight="1" x14ac:dyDescent="0.2">
      <c r="A16" s="113" t="s">
        <v>31</v>
      </c>
      <c r="B16" s="114"/>
      <c r="C16" s="118">
        <v>1138910</v>
      </c>
      <c r="D16" s="114"/>
      <c r="E16" s="100">
        <v>49661.055999999997</v>
      </c>
      <c r="F16" s="114"/>
    </row>
    <row r="17" spans="1:6" ht="11.25" customHeight="1" x14ac:dyDescent="0.2">
      <c r="A17" s="113" t="s">
        <v>32</v>
      </c>
      <c r="B17" s="114"/>
      <c r="C17" s="117">
        <v>51100</v>
      </c>
      <c r="D17" s="114"/>
      <c r="E17" s="100">
        <v>4999.4409999999998</v>
      </c>
      <c r="F17" s="114"/>
    </row>
    <row r="18" spans="1:6" ht="11.25" customHeight="1" x14ac:dyDescent="0.2">
      <c r="A18" s="113" t="s">
        <v>33</v>
      </c>
      <c r="B18" s="114"/>
      <c r="C18" s="117">
        <v>110860</v>
      </c>
      <c r="D18" s="114"/>
      <c r="E18" s="100">
        <v>11338.138000000001</v>
      </c>
      <c r="F18" s="114"/>
    </row>
    <row r="19" spans="1:6" ht="11.25" customHeight="1" x14ac:dyDescent="0.2">
      <c r="A19" s="113" t="s">
        <v>99</v>
      </c>
      <c r="B19" s="114"/>
      <c r="C19" s="117">
        <v>751</v>
      </c>
      <c r="D19" s="114"/>
      <c r="E19" s="100">
        <v>71.625</v>
      </c>
      <c r="F19" s="114"/>
    </row>
    <row r="20" spans="1:6" ht="11.25" customHeight="1" x14ac:dyDescent="0.2">
      <c r="A20" s="113" t="s">
        <v>34</v>
      </c>
      <c r="B20" s="114"/>
      <c r="C20" s="117">
        <v>48670</v>
      </c>
      <c r="D20" s="114"/>
      <c r="E20" s="100">
        <v>10627.165000000001</v>
      </c>
      <c r="F20" s="114"/>
    </row>
    <row r="21" spans="1:6" ht="12.6" customHeight="1" x14ac:dyDescent="0.2">
      <c r="A21" s="113" t="s">
        <v>35</v>
      </c>
      <c r="B21" s="114"/>
      <c r="C21" s="118">
        <v>283561</v>
      </c>
      <c r="D21" s="114"/>
      <c r="E21" s="100">
        <v>17084.357</v>
      </c>
      <c r="F21" s="114"/>
    </row>
    <row r="22" spans="1:6" ht="11.25" customHeight="1" x14ac:dyDescent="0.2">
      <c r="A22" s="113" t="s">
        <v>36</v>
      </c>
      <c r="B22" s="114"/>
      <c r="C22" s="117">
        <v>21041</v>
      </c>
      <c r="D22" s="114"/>
      <c r="E22" s="100">
        <v>6420.7439999999997</v>
      </c>
      <c r="F22" s="114"/>
    </row>
    <row r="23" spans="1:6" ht="11.25" customHeight="1" x14ac:dyDescent="0.2">
      <c r="A23" s="113" t="s">
        <v>37</v>
      </c>
      <c r="B23" s="114"/>
      <c r="C23" s="119">
        <v>86500</v>
      </c>
      <c r="D23" s="120">
        <v>3</v>
      </c>
      <c r="E23" s="121">
        <v>282</v>
      </c>
      <c r="F23" s="122">
        <v>4</v>
      </c>
    </row>
    <row r="24" spans="1:6" ht="11.25" customHeight="1" x14ac:dyDescent="0.2">
      <c r="A24" s="123" t="s">
        <v>100</v>
      </c>
      <c r="B24" s="147"/>
      <c r="C24" s="117">
        <v>1702</v>
      </c>
      <c r="D24" s="120">
        <v>3</v>
      </c>
      <c r="E24" s="124">
        <v>394</v>
      </c>
      <c r="F24" s="122">
        <v>4</v>
      </c>
    </row>
    <row r="25" spans="1:6" ht="11.25" customHeight="1" x14ac:dyDescent="0.2">
      <c r="A25" s="113" t="s">
        <v>38</v>
      </c>
      <c r="B25" s="114"/>
      <c r="C25" s="117">
        <v>108889</v>
      </c>
      <c r="D25" s="114"/>
      <c r="E25" s="100">
        <v>16347</v>
      </c>
      <c r="F25" s="114"/>
    </row>
    <row r="26" spans="1:6" ht="11.25" customHeight="1" x14ac:dyDescent="0.2">
      <c r="A26" s="113" t="s">
        <v>39</v>
      </c>
      <c r="B26" s="114"/>
      <c r="C26" s="118">
        <v>214969</v>
      </c>
      <c r="D26" s="114"/>
      <c r="E26" s="100">
        <v>779.00400000000002</v>
      </c>
      <c r="F26" s="114"/>
    </row>
    <row r="27" spans="1:6" ht="12" customHeight="1" x14ac:dyDescent="0.2">
      <c r="A27" s="113" t="s">
        <v>77</v>
      </c>
      <c r="B27" s="114"/>
      <c r="C27" s="117">
        <v>27750</v>
      </c>
      <c r="D27" s="114"/>
      <c r="E27" s="100">
        <v>11123.175999999999</v>
      </c>
      <c r="F27" s="114"/>
    </row>
    <row r="28" spans="1:6" ht="11.25" customHeight="1" x14ac:dyDescent="0.2">
      <c r="A28" s="113" t="s">
        <v>40</v>
      </c>
      <c r="B28" s="114"/>
      <c r="C28" s="117">
        <v>112090</v>
      </c>
      <c r="D28" s="114"/>
      <c r="E28" s="100">
        <v>9587.5220000000008</v>
      </c>
      <c r="F28" s="114"/>
    </row>
    <row r="29" spans="1:6" ht="11.25" customHeight="1" x14ac:dyDescent="0.2">
      <c r="A29" s="116" t="s">
        <v>41</v>
      </c>
      <c r="B29" s="114"/>
      <c r="C29" s="117">
        <v>10991</v>
      </c>
      <c r="D29" s="114"/>
      <c r="E29" s="100">
        <v>2934.855</v>
      </c>
      <c r="F29" s="114"/>
    </row>
    <row r="30" spans="1:6" ht="11.25" customHeight="1" x14ac:dyDescent="0.2">
      <c r="A30" s="113" t="s">
        <v>78</v>
      </c>
      <c r="B30" s="114"/>
      <c r="C30" s="117">
        <v>1128</v>
      </c>
      <c r="D30" s="120">
        <v>3</v>
      </c>
      <c r="E30" s="121">
        <v>369</v>
      </c>
      <c r="F30" s="122">
        <v>4</v>
      </c>
    </row>
    <row r="31" spans="1:6" ht="11.25" customHeight="1" x14ac:dyDescent="0.2">
      <c r="A31" s="113" t="s">
        <v>42</v>
      </c>
      <c r="B31" s="114"/>
      <c r="C31" s="117">
        <v>1964375</v>
      </c>
      <c r="D31" s="114"/>
      <c r="E31" s="100">
        <v>126190.788</v>
      </c>
      <c r="F31" s="114"/>
    </row>
    <row r="32" spans="1:6" ht="11.25" customHeight="1" x14ac:dyDescent="0.2">
      <c r="A32" s="113" t="s">
        <v>43</v>
      </c>
      <c r="B32" s="114"/>
      <c r="C32" s="117">
        <v>130370</v>
      </c>
      <c r="D32" s="114"/>
      <c r="E32" s="100">
        <v>6465.5129999999999</v>
      </c>
      <c r="F32" s="114"/>
    </row>
    <row r="33" spans="1:6" ht="12.6" customHeight="1" x14ac:dyDescent="0.2">
      <c r="A33" s="113" t="s">
        <v>44</v>
      </c>
      <c r="B33" s="114"/>
      <c r="C33" s="117">
        <v>75420</v>
      </c>
      <c r="D33" s="114"/>
      <c r="E33" s="100">
        <v>4176.8729999999996</v>
      </c>
      <c r="F33" s="114"/>
    </row>
    <row r="34" spans="1:6" ht="11.25" customHeight="1" x14ac:dyDescent="0.2">
      <c r="A34" s="113" t="s">
        <v>45</v>
      </c>
      <c r="B34" s="114"/>
      <c r="C34" s="118">
        <v>406752</v>
      </c>
      <c r="D34" s="114"/>
      <c r="E34" s="100">
        <v>6956.0709999999999</v>
      </c>
      <c r="F34" s="114"/>
    </row>
    <row r="35" spans="1:6" ht="11.25" customHeight="1" x14ac:dyDescent="0.2">
      <c r="A35" s="113" t="s">
        <v>46</v>
      </c>
      <c r="B35" s="114"/>
      <c r="C35" s="118">
        <v>1285216</v>
      </c>
      <c r="D35" s="114"/>
      <c r="E35" s="100">
        <v>31989.256000000001</v>
      </c>
      <c r="F35" s="114"/>
    </row>
    <row r="36" spans="1:6" ht="11.25" customHeight="1" x14ac:dyDescent="0.2">
      <c r="A36" s="113" t="s">
        <v>101</v>
      </c>
      <c r="B36" s="114"/>
      <c r="C36" s="117">
        <v>9104</v>
      </c>
      <c r="D36" s="114"/>
      <c r="E36" s="100">
        <v>3193</v>
      </c>
      <c r="F36" s="114"/>
    </row>
    <row r="37" spans="1:6" ht="11.25" customHeight="1" x14ac:dyDescent="0.2">
      <c r="A37" s="113" t="s">
        <v>102</v>
      </c>
      <c r="B37" s="114"/>
      <c r="C37" s="117">
        <v>261</v>
      </c>
      <c r="D37" s="114"/>
      <c r="E37" s="100">
        <v>52.441000000000003</v>
      </c>
      <c r="F37" s="114"/>
    </row>
    <row r="38" spans="1:6" ht="11.25" customHeight="1" x14ac:dyDescent="0.2">
      <c r="A38" s="113" t="s">
        <v>47</v>
      </c>
      <c r="B38" s="114"/>
      <c r="C38" s="118">
        <v>163820</v>
      </c>
      <c r="D38" s="114"/>
      <c r="E38" s="100">
        <v>575.99099999999999</v>
      </c>
      <c r="F38" s="114"/>
    </row>
    <row r="39" spans="1:6" ht="11.25" customHeight="1" x14ac:dyDescent="0.2">
      <c r="A39" s="113" t="s">
        <v>48</v>
      </c>
      <c r="B39" s="114"/>
      <c r="C39" s="117">
        <v>5128</v>
      </c>
      <c r="D39" s="114"/>
      <c r="E39" s="100">
        <v>1389.8579999999999</v>
      </c>
      <c r="F39" s="114"/>
    </row>
    <row r="40" spans="1:6" ht="11.25" customHeight="1" x14ac:dyDescent="0.2">
      <c r="A40" s="170" t="s">
        <v>103</v>
      </c>
      <c r="B40" s="114"/>
      <c r="C40" s="117">
        <v>9833517</v>
      </c>
      <c r="D40" s="114"/>
      <c r="E40" s="100">
        <v>326687.50099999999</v>
      </c>
      <c r="F40" s="114"/>
    </row>
    <row r="41" spans="1:6" ht="11.25" customHeight="1" x14ac:dyDescent="0.2">
      <c r="A41" s="113" t="s">
        <v>49</v>
      </c>
      <c r="B41" s="114"/>
      <c r="C41" s="118">
        <v>176215</v>
      </c>
      <c r="D41" s="114"/>
      <c r="E41" s="100">
        <v>3449.299</v>
      </c>
      <c r="F41" s="114"/>
    </row>
    <row r="42" spans="1:6" ht="11.25" customHeight="1" x14ac:dyDescent="0.2">
      <c r="A42" s="113" t="s">
        <v>104</v>
      </c>
      <c r="B42" s="114"/>
      <c r="C42" s="144">
        <v>912050</v>
      </c>
      <c r="D42" s="148"/>
      <c r="E42" s="87">
        <v>28870.195</v>
      </c>
      <c r="F42" s="148"/>
    </row>
    <row r="43" spans="1:6" ht="11.25" customHeight="1" x14ac:dyDescent="0.2">
      <c r="A43" s="85" t="s">
        <v>51</v>
      </c>
      <c r="B43" s="114"/>
      <c r="C43" s="141">
        <v>40354000</v>
      </c>
      <c r="D43" s="141"/>
      <c r="E43" s="142">
        <v>1004344.9410000001</v>
      </c>
      <c r="F43" s="143"/>
    </row>
    <row r="44" spans="1:6" ht="11.25" customHeight="1" x14ac:dyDescent="0.2">
      <c r="A44" s="125" t="s">
        <v>105</v>
      </c>
      <c r="B44" s="126"/>
      <c r="C44" s="127">
        <v>148940000</v>
      </c>
      <c r="D44" s="128">
        <v>6</v>
      </c>
      <c r="E44" s="100">
        <v>7591945</v>
      </c>
      <c r="F44" s="128">
        <v>7</v>
      </c>
    </row>
    <row r="45" spans="1:6" ht="11.25" customHeight="1" x14ac:dyDescent="0.2">
      <c r="A45" s="196" t="s">
        <v>172</v>
      </c>
      <c r="B45" s="196"/>
      <c r="C45" s="196"/>
      <c r="D45" s="196"/>
      <c r="E45" s="196"/>
      <c r="F45" s="196"/>
    </row>
    <row r="46" spans="1:6" ht="12.6" customHeight="1" x14ac:dyDescent="0.2">
      <c r="A46" s="190" t="s">
        <v>106</v>
      </c>
      <c r="B46" s="190"/>
      <c r="C46" s="190"/>
      <c r="D46" s="190"/>
      <c r="E46" s="190"/>
      <c r="F46" s="190"/>
    </row>
    <row r="47" spans="1:6" ht="11.25" customHeight="1" x14ac:dyDescent="0.2">
      <c r="A47" s="197" t="s">
        <v>127</v>
      </c>
      <c r="B47" s="197"/>
      <c r="C47" s="197"/>
      <c r="D47" s="197"/>
      <c r="E47" s="197"/>
      <c r="F47" s="197"/>
    </row>
    <row r="48" spans="1:6" ht="11.25" customHeight="1" x14ac:dyDescent="0.2">
      <c r="A48" s="198" t="s">
        <v>128</v>
      </c>
      <c r="B48" s="197"/>
      <c r="C48" s="197"/>
      <c r="D48" s="197"/>
      <c r="E48" s="197"/>
      <c r="F48" s="197"/>
    </row>
    <row r="49" spans="1:6" ht="11.25" customHeight="1" x14ac:dyDescent="0.2">
      <c r="A49" s="190" t="s">
        <v>107</v>
      </c>
      <c r="B49" s="190"/>
      <c r="C49" s="190"/>
      <c r="D49" s="190"/>
      <c r="E49" s="190"/>
      <c r="F49" s="190"/>
    </row>
    <row r="50" spans="1:6" ht="21.75" customHeight="1" x14ac:dyDescent="0.25">
      <c r="A50" s="199" t="s">
        <v>108</v>
      </c>
      <c r="B50" s="200"/>
      <c r="C50" s="200"/>
      <c r="D50" s="200"/>
      <c r="E50" s="200"/>
      <c r="F50" s="200"/>
    </row>
    <row r="51" spans="1:6" ht="22.15" customHeight="1" x14ac:dyDescent="0.25">
      <c r="A51" s="201" t="s">
        <v>109</v>
      </c>
      <c r="B51" s="201"/>
      <c r="C51" s="201"/>
      <c r="D51" s="201"/>
      <c r="E51" s="201"/>
      <c r="F51" s="201"/>
    </row>
  </sheetData>
  <mergeCells count="14">
    <mergeCell ref="A47:F47"/>
    <mergeCell ref="A48:F48"/>
    <mergeCell ref="A49:F49"/>
    <mergeCell ref="A50:F50"/>
    <mergeCell ref="A51:F51"/>
    <mergeCell ref="A46:F46"/>
    <mergeCell ref="A1:F1"/>
    <mergeCell ref="A2:F2"/>
    <mergeCell ref="A3:F3"/>
    <mergeCell ref="E4:F4"/>
    <mergeCell ref="E5:F5"/>
    <mergeCell ref="C4:D4"/>
    <mergeCell ref="C5:D5"/>
    <mergeCell ref="A45:F45"/>
  </mergeCells>
  <pageMargins left="0.5" right="0.5" top="0.5" bottom="0.75" header="0.5" footer="0.5"/>
  <pageSetup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4BCE-3A9C-4232-A884-D20E9920DBF1}">
  <dimension ref="A1:O47"/>
  <sheetViews>
    <sheetView zoomScaleNormal="100" workbookViewId="0">
      <selection sqref="A1:L1"/>
    </sheetView>
  </sheetViews>
  <sheetFormatPr defaultRowHeight="12.75" x14ac:dyDescent="0.2"/>
  <cols>
    <col min="1" max="1" width="23.7109375" style="93" customWidth="1"/>
    <col min="2" max="2" width="1.85546875" style="93" customWidth="1"/>
    <col min="3" max="3" width="11.28515625" style="94" customWidth="1"/>
    <col min="4" max="4" width="4.42578125" style="93" customWidth="1"/>
    <col min="5" max="5" width="8" style="94" customWidth="1"/>
    <col min="6" max="6" width="2.7109375" style="93" customWidth="1"/>
    <col min="7" max="7" width="8.7109375" style="95" customWidth="1"/>
    <col min="8" max="8" width="3" style="95" customWidth="1"/>
    <col min="9" max="9" width="8.7109375" style="95" customWidth="1"/>
    <col min="10" max="10" width="3.140625" style="95" customWidth="1"/>
    <col min="11" max="11" width="8.7109375" style="95" customWidth="1"/>
    <col min="12" max="12" width="1.28515625" style="95" bestFit="1" customWidth="1"/>
    <col min="13" max="238" width="9.140625" style="96"/>
    <col min="239" max="239" width="23.7109375" style="96" customWidth="1"/>
    <col min="240" max="240" width="1.85546875" style="96" customWidth="1"/>
    <col min="241" max="241" width="11.28515625" style="96" customWidth="1"/>
    <col min="242" max="242" width="4.42578125" style="96" customWidth="1"/>
    <col min="243" max="243" width="8" style="96" customWidth="1"/>
    <col min="244" max="244" width="2.7109375" style="96" customWidth="1"/>
    <col min="245" max="247" width="8.7109375" style="96" customWidth="1"/>
    <col min="248" max="494" width="9.140625" style="96"/>
    <col min="495" max="495" width="23.7109375" style="96" customWidth="1"/>
    <col min="496" max="496" width="1.85546875" style="96" customWidth="1"/>
    <col min="497" max="497" width="11.28515625" style="96" customWidth="1"/>
    <col min="498" max="498" width="4.42578125" style="96" customWidth="1"/>
    <col min="499" max="499" width="8" style="96" customWidth="1"/>
    <col min="500" max="500" width="2.7109375" style="96" customWidth="1"/>
    <col min="501" max="503" width="8.7109375" style="96" customWidth="1"/>
    <col min="504" max="750" width="9.140625" style="96"/>
    <col min="751" max="751" width="23.7109375" style="96" customWidth="1"/>
    <col min="752" max="752" width="1.85546875" style="96" customWidth="1"/>
    <col min="753" max="753" width="11.28515625" style="96" customWidth="1"/>
    <col min="754" max="754" width="4.42578125" style="96" customWidth="1"/>
    <col min="755" max="755" width="8" style="96" customWidth="1"/>
    <col min="756" max="756" width="2.7109375" style="96" customWidth="1"/>
    <col min="757" max="759" width="8.7109375" style="96" customWidth="1"/>
    <col min="760" max="1006" width="9.140625" style="96"/>
    <col min="1007" max="1007" width="23.7109375" style="96" customWidth="1"/>
    <col min="1008" max="1008" width="1.85546875" style="96" customWidth="1"/>
    <col min="1009" max="1009" width="11.28515625" style="96" customWidth="1"/>
    <col min="1010" max="1010" width="4.42578125" style="96" customWidth="1"/>
    <col min="1011" max="1011" width="8" style="96" customWidth="1"/>
    <col min="1012" max="1012" width="2.7109375" style="96" customWidth="1"/>
    <col min="1013" max="1015" width="8.7109375" style="96" customWidth="1"/>
    <col min="1016" max="1262" width="9.140625" style="96"/>
    <col min="1263" max="1263" width="23.7109375" style="96" customWidth="1"/>
    <col min="1264" max="1264" width="1.85546875" style="96" customWidth="1"/>
    <col min="1265" max="1265" width="11.28515625" style="96" customWidth="1"/>
    <col min="1266" max="1266" width="4.42578125" style="96" customWidth="1"/>
    <col min="1267" max="1267" width="8" style="96" customWidth="1"/>
    <col min="1268" max="1268" width="2.7109375" style="96" customWidth="1"/>
    <col min="1269" max="1271" width="8.7109375" style="96" customWidth="1"/>
    <col min="1272" max="1518" width="9.140625" style="96"/>
    <col min="1519" max="1519" width="23.7109375" style="96" customWidth="1"/>
    <col min="1520" max="1520" width="1.85546875" style="96" customWidth="1"/>
    <col min="1521" max="1521" width="11.28515625" style="96" customWidth="1"/>
    <col min="1522" max="1522" width="4.42578125" style="96" customWidth="1"/>
    <col min="1523" max="1523" width="8" style="96" customWidth="1"/>
    <col min="1524" max="1524" width="2.7109375" style="96" customWidth="1"/>
    <col min="1525" max="1527" width="8.7109375" style="96" customWidth="1"/>
    <col min="1528" max="1774" width="9.140625" style="96"/>
    <col min="1775" max="1775" width="23.7109375" style="96" customWidth="1"/>
    <col min="1776" max="1776" width="1.85546875" style="96" customWidth="1"/>
    <col min="1777" max="1777" width="11.28515625" style="96" customWidth="1"/>
    <col min="1778" max="1778" width="4.42578125" style="96" customWidth="1"/>
    <col min="1779" max="1779" width="8" style="96" customWidth="1"/>
    <col min="1780" max="1780" width="2.7109375" style="96" customWidth="1"/>
    <col min="1781" max="1783" width="8.7109375" style="96" customWidth="1"/>
    <col min="1784" max="2030" width="9.140625" style="96"/>
    <col min="2031" max="2031" width="23.7109375" style="96" customWidth="1"/>
    <col min="2032" max="2032" width="1.85546875" style="96" customWidth="1"/>
    <col min="2033" max="2033" width="11.28515625" style="96" customWidth="1"/>
    <col min="2034" max="2034" width="4.42578125" style="96" customWidth="1"/>
    <col min="2035" max="2035" width="8" style="96" customWidth="1"/>
    <col min="2036" max="2036" width="2.7109375" style="96" customWidth="1"/>
    <col min="2037" max="2039" width="8.7109375" style="96" customWidth="1"/>
    <col min="2040" max="2286" width="9.140625" style="96"/>
    <col min="2287" max="2287" width="23.7109375" style="96" customWidth="1"/>
    <col min="2288" max="2288" width="1.85546875" style="96" customWidth="1"/>
    <col min="2289" max="2289" width="11.28515625" style="96" customWidth="1"/>
    <col min="2290" max="2290" width="4.42578125" style="96" customWidth="1"/>
    <col min="2291" max="2291" width="8" style="96" customWidth="1"/>
    <col min="2292" max="2292" width="2.7109375" style="96" customWidth="1"/>
    <col min="2293" max="2295" width="8.7109375" style="96" customWidth="1"/>
    <col min="2296" max="2542" width="9.140625" style="96"/>
    <col min="2543" max="2543" width="23.7109375" style="96" customWidth="1"/>
    <col min="2544" max="2544" width="1.85546875" style="96" customWidth="1"/>
    <col min="2545" max="2545" width="11.28515625" style="96" customWidth="1"/>
    <col min="2546" max="2546" width="4.42578125" style="96" customWidth="1"/>
    <col min="2547" max="2547" width="8" style="96" customWidth="1"/>
    <col min="2548" max="2548" width="2.7109375" style="96" customWidth="1"/>
    <col min="2549" max="2551" width="8.7109375" style="96" customWidth="1"/>
    <col min="2552" max="2798" width="9.140625" style="96"/>
    <col min="2799" max="2799" width="23.7109375" style="96" customWidth="1"/>
    <col min="2800" max="2800" width="1.85546875" style="96" customWidth="1"/>
    <col min="2801" max="2801" width="11.28515625" style="96" customWidth="1"/>
    <col min="2802" max="2802" width="4.42578125" style="96" customWidth="1"/>
    <col min="2803" max="2803" width="8" style="96" customWidth="1"/>
    <col min="2804" max="2804" width="2.7109375" style="96" customWidth="1"/>
    <col min="2805" max="2807" width="8.7109375" style="96" customWidth="1"/>
    <col min="2808" max="3054" width="9.140625" style="96"/>
    <col min="3055" max="3055" width="23.7109375" style="96" customWidth="1"/>
    <col min="3056" max="3056" width="1.85546875" style="96" customWidth="1"/>
    <col min="3057" max="3057" width="11.28515625" style="96" customWidth="1"/>
    <col min="3058" max="3058" width="4.42578125" style="96" customWidth="1"/>
    <col min="3059" max="3059" width="8" style="96" customWidth="1"/>
    <col min="3060" max="3060" width="2.7109375" style="96" customWidth="1"/>
    <col min="3061" max="3063" width="8.7109375" style="96" customWidth="1"/>
    <col min="3064" max="3310" width="9.140625" style="96"/>
    <col min="3311" max="3311" width="23.7109375" style="96" customWidth="1"/>
    <col min="3312" max="3312" width="1.85546875" style="96" customWidth="1"/>
    <col min="3313" max="3313" width="11.28515625" style="96" customWidth="1"/>
    <col min="3314" max="3314" width="4.42578125" style="96" customWidth="1"/>
    <col min="3315" max="3315" width="8" style="96" customWidth="1"/>
    <col min="3316" max="3316" width="2.7109375" style="96" customWidth="1"/>
    <col min="3317" max="3319" width="8.7109375" style="96" customWidth="1"/>
    <col min="3320" max="3566" width="9.140625" style="96"/>
    <col min="3567" max="3567" width="23.7109375" style="96" customWidth="1"/>
    <col min="3568" max="3568" width="1.85546875" style="96" customWidth="1"/>
    <col min="3569" max="3569" width="11.28515625" style="96" customWidth="1"/>
    <col min="3570" max="3570" width="4.42578125" style="96" customWidth="1"/>
    <col min="3571" max="3571" width="8" style="96" customWidth="1"/>
    <col min="3572" max="3572" width="2.7109375" style="96" customWidth="1"/>
    <col min="3573" max="3575" width="8.7109375" style="96" customWidth="1"/>
    <col min="3576" max="3822" width="9.140625" style="96"/>
    <col min="3823" max="3823" width="23.7109375" style="96" customWidth="1"/>
    <col min="3824" max="3824" width="1.85546875" style="96" customWidth="1"/>
    <col min="3825" max="3825" width="11.28515625" style="96" customWidth="1"/>
    <col min="3826" max="3826" width="4.42578125" style="96" customWidth="1"/>
    <col min="3827" max="3827" width="8" style="96" customWidth="1"/>
    <col min="3828" max="3828" width="2.7109375" style="96" customWidth="1"/>
    <col min="3829" max="3831" width="8.7109375" style="96" customWidth="1"/>
    <col min="3832" max="4078" width="9.140625" style="96"/>
    <col min="4079" max="4079" width="23.7109375" style="96" customWidth="1"/>
    <col min="4080" max="4080" width="1.85546875" style="96" customWidth="1"/>
    <col min="4081" max="4081" width="11.28515625" style="96" customWidth="1"/>
    <col min="4082" max="4082" width="4.42578125" style="96" customWidth="1"/>
    <col min="4083" max="4083" width="8" style="96" customWidth="1"/>
    <col min="4084" max="4084" width="2.7109375" style="96" customWidth="1"/>
    <col min="4085" max="4087" width="8.7109375" style="96" customWidth="1"/>
    <col min="4088" max="4334" width="9.140625" style="96"/>
    <col min="4335" max="4335" width="23.7109375" style="96" customWidth="1"/>
    <col min="4336" max="4336" width="1.85546875" style="96" customWidth="1"/>
    <col min="4337" max="4337" width="11.28515625" style="96" customWidth="1"/>
    <col min="4338" max="4338" width="4.42578125" style="96" customWidth="1"/>
    <col min="4339" max="4339" width="8" style="96" customWidth="1"/>
    <col min="4340" max="4340" width="2.7109375" style="96" customWidth="1"/>
    <col min="4341" max="4343" width="8.7109375" style="96" customWidth="1"/>
    <col min="4344" max="4590" width="9.140625" style="96"/>
    <col min="4591" max="4591" width="23.7109375" style="96" customWidth="1"/>
    <col min="4592" max="4592" width="1.85546875" style="96" customWidth="1"/>
    <col min="4593" max="4593" width="11.28515625" style="96" customWidth="1"/>
    <col min="4594" max="4594" width="4.42578125" style="96" customWidth="1"/>
    <col min="4595" max="4595" width="8" style="96" customWidth="1"/>
    <col min="4596" max="4596" width="2.7109375" style="96" customWidth="1"/>
    <col min="4597" max="4599" width="8.7109375" style="96" customWidth="1"/>
    <col min="4600" max="4846" width="9.140625" style="96"/>
    <col min="4847" max="4847" width="23.7109375" style="96" customWidth="1"/>
    <col min="4848" max="4848" width="1.85546875" style="96" customWidth="1"/>
    <col min="4849" max="4849" width="11.28515625" style="96" customWidth="1"/>
    <col min="4850" max="4850" width="4.42578125" style="96" customWidth="1"/>
    <col min="4851" max="4851" width="8" style="96" customWidth="1"/>
    <col min="4852" max="4852" width="2.7109375" style="96" customWidth="1"/>
    <col min="4853" max="4855" width="8.7109375" style="96" customWidth="1"/>
    <col min="4856" max="5102" width="9.140625" style="96"/>
    <col min="5103" max="5103" width="23.7109375" style="96" customWidth="1"/>
    <col min="5104" max="5104" width="1.85546875" style="96" customWidth="1"/>
    <col min="5105" max="5105" width="11.28515625" style="96" customWidth="1"/>
    <col min="5106" max="5106" width="4.42578125" style="96" customWidth="1"/>
    <col min="5107" max="5107" width="8" style="96" customWidth="1"/>
    <col min="5108" max="5108" width="2.7109375" style="96" customWidth="1"/>
    <col min="5109" max="5111" width="8.7109375" style="96" customWidth="1"/>
    <col min="5112" max="5358" width="9.140625" style="96"/>
    <col min="5359" max="5359" width="23.7109375" style="96" customWidth="1"/>
    <col min="5360" max="5360" width="1.85546875" style="96" customWidth="1"/>
    <col min="5361" max="5361" width="11.28515625" style="96" customWidth="1"/>
    <col min="5362" max="5362" width="4.42578125" style="96" customWidth="1"/>
    <col min="5363" max="5363" width="8" style="96" customWidth="1"/>
    <col min="5364" max="5364" width="2.7109375" style="96" customWidth="1"/>
    <col min="5365" max="5367" width="8.7109375" style="96" customWidth="1"/>
    <col min="5368" max="5614" width="9.140625" style="96"/>
    <col min="5615" max="5615" width="23.7109375" style="96" customWidth="1"/>
    <col min="5616" max="5616" width="1.85546875" style="96" customWidth="1"/>
    <col min="5617" max="5617" width="11.28515625" style="96" customWidth="1"/>
    <col min="5618" max="5618" width="4.42578125" style="96" customWidth="1"/>
    <col min="5619" max="5619" width="8" style="96" customWidth="1"/>
    <col min="5620" max="5620" width="2.7109375" style="96" customWidth="1"/>
    <col min="5621" max="5623" width="8.7109375" style="96" customWidth="1"/>
    <col min="5624" max="5870" width="9.140625" style="96"/>
    <col min="5871" max="5871" width="23.7109375" style="96" customWidth="1"/>
    <col min="5872" max="5872" width="1.85546875" style="96" customWidth="1"/>
    <col min="5873" max="5873" width="11.28515625" style="96" customWidth="1"/>
    <col min="5874" max="5874" width="4.42578125" style="96" customWidth="1"/>
    <col min="5875" max="5875" width="8" style="96" customWidth="1"/>
    <col min="5876" max="5876" width="2.7109375" style="96" customWidth="1"/>
    <col min="5877" max="5879" width="8.7109375" style="96" customWidth="1"/>
    <col min="5880" max="6126" width="9.140625" style="96"/>
    <col min="6127" max="6127" width="23.7109375" style="96" customWidth="1"/>
    <col min="6128" max="6128" width="1.85546875" style="96" customWidth="1"/>
    <col min="6129" max="6129" width="11.28515625" style="96" customWidth="1"/>
    <col min="6130" max="6130" width="4.42578125" style="96" customWidth="1"/>
    <col min="6131" max="6131" width="8" style="96" customWidth="1"/>
    <col min="6132" max="6132" width="2.7109375" style="96" customWidth="1"/>
    <col min="6133" max="6135" width="8.7109375" style="96" customWidth="1"/>
    <col min="6136" max="6382" width="9.140625" style="96"/>
    <col min="6383" max="6383" width="23.7109375" style="96" customWidth="1"/>
    <col min="6384" max="6384" width="1.85546875" style="96" customWidth="1"/>
    <col min="6385" max="6385" width="11.28515625" style="96" customWidth="1"/>
    <col min="6386" max="6386" width="4.42578125" style="96" customWidth="1"/>
    <col min="6387" max="6387" width="8" style="96" customWidth="1"/>
    <col min="6388" max="6388" width="2.7109375" style="96" customWidth="1"/>
    <col min="6389" max="6391" width="8.7109375" style="96" customWidth="1"/>
    <col min="6392" max="6638" width="9.140625" style="96"/>
    <col min="6639" max="6639" width="23.7109375" style="96" customWidth="1"/>
    <col min="6640" max="6640" width="1.85546875" style="96" customWidth="1"/>
    <col min="6641" max="6641" width="11.28515625" style="96" customWidth="1"/>
    <col min="6642" max="6642" width="4.42578125" style="96" customWidth="1"/>
    <col min="6643" max="6643" width="8" style="96" customWidth="1"/>
    <col min="6644" max="6644" width="2.7109375" style="96" customWidth="1"/>
    <col min="6645" max="6647" width="8.7109375" style="96" customWidth="1"/>
    <col min="6648" max="6894" width="9.140625" style="96"/>
    <col min="6895" max="6895" width="23.7109375" style="96" customWidth="1"/>
    <col min="6896" max="6896" width="1.85546875" style="96" customWidth="1"/>
    <col min="6897" max="6897" width="11.28515625" style="96" customWidth="1"/>
    <col min="6898" max="6898" width="4.42578125" style="96" customWidth="1"/>
    <col min="6899" max="6899" width="8" style="96" customWidth="1"/>
    <col min="6900" max="6900" width="2.7109375" style="96" customWidth="1"/>
    <col min="6901" max="6903" width="8.7109375" style="96" customWidth="1"/>
    <col min="6904" max="7150" width="9.140625" style="96"/>
    <col min="7151" max="7151" width="23.7109375" style="96" customWidth="1"/>
    <col min="7152" max="7152" width="1.85546875" style="96" customWidth="1"/>
    <col min="7153" max="7153" width="11.28515625" style="96" customWidth="1"/>
    <col min="7154" max="7154" width="4.42578125" style="96" customWidth="1"/>
    <col min="7155" max="7155" width="8" style="96" customWidth="1"/>
    <col min="7156" max="7156" width="2.7109375" style="96" customWidth="1"/>
    <col min="7157" max="7159" width="8.7109375" style="96" customWidth="1"/>
    <col min="7160" max="7406" width="9.140625" style="96"/>
    <col min="7407" max="7407" width="23.7109375" style="96" customWidth="1"/>
    <col min="7408" max="7408" width="1.85546875" style="96" customWidth="1"/>
    <col min="7409" max="7409" width="11.28515625" style="96" customWidth="1"/>
    <col min="7410" max="7410" width="4.42578125" style="96" customWidth="1"/>
    <col min="7411" max="7411" width="8" style="96" customWidth="1"/>
    <col min="7412" max="7412" width="2.7109375" style="96" customWidth="1"/>
    <col min="7413" max="7415" width="8.7109375" style="96" customWidth="1"/>
    <col min="7416" max="7662" width="9.140625" style="96"/>
    <col min="7663" max="7663" width="23.7109375" style="96" customWidth="1"/>
    <col min="7664" max="7664" width="1.85546875" style="96" customWidth="1"/>
    <col min="7665" max="7665" width="11.28515625" style="96" customWidth="1"/>
    <col min="7666" max="7666" width="4.42578125" style="96" customWidth="1"/>
    <col min="7667" max="7667" width="8" style="96" customWidth="1"/>
    <col min="7668" max="7668" width="2.7109375" style="96" customWidth="1"/>
    <col min="7669" max="7671" width="8.7109375" style="96" customWidth="1"/>
    <col min="7672" max="7918" width="9.140625" style="96"/>
    <col min="7919" max="7919" width="23.7109375" style="96" customWidth="1"/>
    <col min="7920" max="7920" width="1.85546875" style="96" customWidth="1"/>
    <col min="7921" max="7921" width="11.28515625" style="96" customWidth="1"/>
    <col min="7922" max="7922" width="4.42578125" style="96" customWidth="1"/>
    <col min="7923" max="7923" width="8" style="96" customWidth="1"/>
    <col min="7924" max="7924" width="2.7109375" style="96" customWidth="1"/>
    <col min="7925" max="7927" width="8.7109375" style="96" customWidth="1"/>
    <col min="7928" max="8174" width="9.140625" style="96"/>
    <col min="8175" max="8175" width="23.7109375" style="96" customWidth="1"/>
    <col min="8176" max="8176" width="1.85546875" style="96" customWidth="1"/>
    <col min="8177" max="8177" width="11.28515625" style="96" customWidth="1"/>
    <col min="8178" max="8178" width="4.42578125" style="96" customWidth="1"/>
    <col min="8179" max="8179" width="8" style="96" customWidth="1"/>
    <col min="8180" max="8180" width="2.7109375" style="96" customWidth="1"/>
    <col min="8181" max="8183" width="8.7109375" style="96" customWidth="1"/>
    <col min="8184" max="8430" width="9.140625" style="96"/>
    <col min="8431" max="8431" width="23.7109375" style="96" customWidth="1"/>
    <col min="8432" max="8432" width="1.85546875" style="96" customWidth="1"/>
    <col min="8433" max="8433" width="11.28515625" style="96" customWidth="1"/>
    <col min="8434" max="8434" width="4.42578125" style="96" customWidth="1"/>
    <col min="8435" max="8435" width="8" style="96" customWidth="1"/>
    <col min="8436" max="8436" width="2.7109375" style="96" customWidth="1"/>
    <col min="8437" max="8439" width="8.7109375" style="96" customWidth="1"/>
    <col min="8440" max="8686" width="9.140625" style="96"/>
    <col min="8687" max="8687" width="23.7109375" style="96" customWidth="1"/>
    <col min="8688" max="8688" width="1.85546875" style="96" customWidth="1"/>
    <col min="8689" max="8689" width="11.28515625" style="96" customWidth="1"/>
    <col min="8690" max="8690" width="4.42578125" style="96" customWidth="1"/>
    <col min="8691" max="8691" width="8" style="96" customWidth="1"/>
    <col min="8692" max="8692" width="2.7109375" style="96" customWidth="1"/>
    <col min="8693" max="8695" width="8.7109375" style="96" customWidth="1"/>
    <col min="8696" max="8942" width="9.140625" style="96"/>
    <col min="8943" max="8943" width="23.7109375" style="96" customWidth="1"/>
    <col min="8944" max="8944" width="1.85546875" style="96" customWidth="1"/>
    <col min="8945" max="8945" width="11.28515625" style="96" customWidth="1"/>
    <col min="8946" max="8946" width="4.42578125" style="96" customWidth="1"/>
    <col min="8947" max="8947" width="8" style="96" customWidth="1"/>
    <col min="8948" max="8948" width="2.7109375" style="96" customWidth="1"/>
    <col min="8949" max="8951" width="8.7109375" style="96" customWidth="1"/>
    <col min="8952" max="9198" width="9.140625" style="96"/>
    <col min="9199" max="9199" width="23.7109375" style="96" customWidth="1"/>
    <col min="9200" max="9200" width="1.85546875" style="96" customWidth="1"/>
    <col min="9201" max="9201" width="11.28515625" style="96" customWidth="1"/>
    <col min="9202" max="9202" width="4.42578125" style="96" customWidth="1"/>
    <col min="9203" max="9203" width="8" style="96" customWidth="1"/>
    <col min="9204" max="9204" width="2.7109375" style="96" customWidth="1"/>
    <col min="9205" max="9207" width="8.7109375" style="96" customWidth="1"/>
    <col min="9208" max="9454" width="9.140625" style="96"/>
    <col min="9455" max="9455" width="23.7109375" style="96" customWidth="1"/>
    <col min="9456" max="9456" width="1.85546875" style="96" customWidth="1"/>
    <col min="9457" max="9457" width="11.28515625" style="96" customWidth="1"/>
    <col min="9458" max="9458" width="4.42578125" style="96" customWidth="1"/>
    <col min="9459" max="9459" width="8" style="96" customWidth="1"/>
    <col min="9460" max="9460" width="2.7109375" style="96" customWidth="1"/>
    <col min="9461" max="9463" width="8.7109375" style="96" customWidth="1"/>
    <col min="9464" max="9710" width="9.140625" style="96"/>
    <col min="9711" max="9711" width="23.7109375" style="96" customWidth="1"/>
    <col min="9712" max="9712" width="1.85546875" style="96" customWidth="1"/>
    <col min="9713" max="9713" width="11.28515625" style="96" customWidth="1"/>
    <col min="9714" max="9714" width="4.42578125" style="96" customWidth="1"/>
    <col min="9715" max="9715" width="8" style="96" customWidth="1"/>
    <col min="9716" max="9716" width="2.7109375" style="96" customWidth="1"/>
    <col min="9717" max="9719" width="8.7109375" style="96" customWidth="1"/>
    <col min="9720" max="9966" width="9.140625" style="96"/>
    <col min="9967" max="9967" width="23.7109375" style="96" customWidth="1"/>
    <col min="9968" max="9968" width="1.85546875" style="96" customWidth="1"/>
    <col min="9969" max="9969" width="11.28515625" style="96" customWidth="1"/>
    <col min="9970" max="9970" width="4.42578125" style="96" customWidth="1"/>
    <col min="9971" max="9971" width="8" style="96" customWidth="1"/>
    <col min="9972" max="9972" width="2.7109375" style="96" customWidth="1"/>
    <col min="9973" max="9975" width="8.7109375" style="96" customWidth="1"/>
    <col min="9976" max="10222" width="9.140625" style="96"/>
    <col min="10223" max="10223" width="23.7109375" style="96" customWidth="1"/>
    <col min="10224" max="10224" width="1.85546875" style="96" customWidth="1"/>
    <col min="10225" max="10225" width="11.28515625" style="96" customWidth="1"/>
    <col min="10226" max="10226" width="4.42578125" style="96" customWidth="1"/>
    <col min="10227" max="10227" width="8" style="96" customWidth="1"/>
    <col min="10228" max="10228" width="2.7109375" style="96" customWidth="1"/>
    <col min="10229" max="10231" width="8.7109375" style="96" customWidth="1"/>
    <col min="10232" max="10478" width="9.140625" style="96"/>
    <col min="10479" max="10479" width="23.7109375" style="96" customWidth="1"/>
    <col min="10480" max="10480" width="1.85546875" style="96" customWidth="1"/>
    <col min="10481" max="10481" width="11.28515625" style="96" customWidth="1"/>
    <col min="10482" max="10482" width="4.42578125" style="96" customWidth="1"/>
    <col min="10483" max="10483" width="8" style="96" customWidth="1"/>
    <col min="10484" max="10484" width="2.7109375" style="96" customWidth="1"/>
    <col min="10485" max="10487" width="8.7109375" style="96" customWidth="1"/>
    <col min="10488" max="10734" width="9.140625" style="96"/>
    <col min="10735" max="10735" width="23.7109375" style="96" customWidth="1"/>
    <col min="10736" max="10736" width="1.85546875" style="96" customWidth="1"/>
    <col min="10737" max="10737" width="11.28515625" style="96" customWidth="1"/>
    <col min="10738" max="10738" width="4.42578125" style="96" customWidth="1"/>
    <col min="10739" max="10739" width="8" style="96" customWidth="1"/>
    <col min="10740" max="10740" width="2.7109375" style="96" customWidth="1"/>
    <col min="10741" max="10743" width="8.7109375" style="96" customWidth="1"/>
    <col min="10744" max="10990" width="9.140625" style="96"/>
    <col min="10991" max="10991" width="23.7109375" style="96" customWidth="1"/>
    <col min="10992" max="10992" width="1.85546875" style="96" customWidth="1"/>
    <col min="10993" max="10993" width="11.28515625" style="96" customWidth="1"/>
    <col min="10994" max="10994" width="4.42578125" style="96" customWidth="1"/>
    <col min="10995" max="10995" width="8" style="96" customWidth="1"/>
    <col min="10996" max="10996" width="2.7109375" style="96" customWidth="1"/>
    <col min="10997" max="10999" width="8.7109375" style="96" customWidth="1"/>
    <col min="11000" max="11246" width="9.140625" style="96"/>
    <col min="11247" max="11247" width="23.7109375" style="96" customWidth="1"/>
    <col min="11248" max="11248" width="1.85546875" style="96" customWidth="1"/>
    <col min="11249" max="11249" width="11.28515625" style="96" customWidth="1"/>
    <col min="11250" max="11250" width="4.42578125" style="96" customWidth="1"/>
    <col min="11251" max="11251" width="8" style="96" customWidth="1"/>
    <col min="11252" max="11252" width="2.7109375" style="96" customWidth="1"/>
    <col min="11253" max="11255" width="8.7109375" style="96" customWidth="1"/>
    <col min="11256" max="11502" width="9.140625" style="96"/>
    <col min="11503" max="11503" width="23.7109375" style="96" customWidth="1"/>
    <col min="11504" max="11504" width="1.85546875" style="96" customWidth="1"/>
    <col min="11505" max="11505" width="11.28515625" style="96" customWidth="1"/>
    <col min="11506" max="11506" width="4.42578125" style="96" customWidth="1"/>
    <col min="11507" max="11507" width="8" style="96" customWidth="1"/>
    <col min="11508" max="11508" width="2.7109375" style="96" customWidth="1"/>
    <col min="11509" max="11511" width="8.7109375" style="96" customWidth="1"/>
    <col min="11512" max="11758" width="9.140625" style="96"/>
    <col min="11759" max="11759" width="23.7109375" style="96" customWidth="1"/>
    <col min="11760" max="11760" width="1.85546875" style="96" customWidth="1"/>
    <col min="11761" max="11761" width="11.28515625" style="96" customWidth="1"/>
    <col min="11762" max="11762" width="4.42578125" style="96" customWidth="1"/>
    <col min="11763" max="11763" width="8" style="96" customWidth="1"/>
    <col min="11764" max="11764" width="2.7109375" style="96" customWidth="1"/>
    <col min="11765" max="11767" width="8.7109375" style="96" customWidth="1"/>
    <col min="11768" max="12014" width="9.140625" style="96"/>
    <col min="12015" max="12015" width="23.7109375" style="96" customWidth="1"/>
    <col min="12016" max="12016" width="1.85546875" style="96" customWidth="1"/>
    <col min="12017" max="12017" width="11.28515625" style="96" customWidth="1"/>
    <col min="12018" max="12018" width="4.42578125" style="96" customWidth="1"/>
    <col min="12019" max="12019" width="8" style="96" customWidth="1"/>
    <col min="12020" max="12020" width="2.7109375" style="96" customWidth="1"/>
    <col min="12021" max="12023" width="8.7109375" style="96" customWidth="1"/>
    <col min="12024" max="12270" width="9.140625" style="96"/>
    <col min="12271" max="12271" width="23.7109375" style="96" customWidth="1"/>
    <col min="12272" max="12272" width="1.85546875" style="96" customWidth="1"/>
    <col min="12273" max="12273" width="11.28515625" style="96" customWidth="1"/>
    <col min="12274" max="12274" width="4.42578125" style="96" customWidth="1"/>
    <col min="12275" max="12275" width="8" style="96" customWidth="1"/>
    <col min="12276" max="12276" width="2.7109375" style="96" customWidth="1"/>
    <col min="12277" max="12279" width="8.7109375" style="96" customWidth="1"/>
    <col min="12280" max="12526" width="9.140625" style="96"/>
    <col min="12527" max="12527" width="23.7109375" style="96" customWidth="1"/>
    <col min="12528" max="12528" width="1.85546875" style="96" customWidth="1"/>
    <col min="12529" max="12529" width="11.28515625" style="96" customWidth="1"/>
    <col min="12530" max="12530" width="4.42578125" style="96" customWidth="1"/>
    <col min="12531" max="12531" width="8" style="96" customWidth="1"/>
    <col min="12532" max="12532" width="2.7109375" style="96" customWidth="1"/>
    <col min="12533" max="12535" width="8.7109375" style="96" customWidth="1"/>
    <col min="12536" max="12782" width="9.140625" style="96"/>
    <col min="12783" max="12783" width="23.7109375" style="96" customWidth="1"/>
    <col min="12784" max="12784" width="1.85546875" style="96" customWidth="1"/>
    <col min="12785" max="12785" width="11.28515625" style="96" customWidth="1"/>
    <col min="12786" max="12786" width="4.42578125" style="96" customWidth="1"/>
    <col min="12787" max="12787" width="8" style="96" customWidth="1"/>
    <col min="12788" max="12788" width="2.7109375" style="96" customWidth="1"/>
    <col min="12789" max="12791" width="8.7109375" style="96" customWidth="1"/>
    <col min="12792" max="13038" width="9.140625" style="96"/>
    <col min="13039" max="13039" width="23.7109375" style="96" customWidth="1"/>
    <col min="13040" max="13040" width="1.85546875" style="96" customWidth="1"/>
    <col min="13041" max="13041" width="11.28515625" style="96" customWidth="1"/>
    <col min="13042" max="13042" width="4.42578125" style="96" customWidth="1"/>
    <col min="13043" max="13043" width="8" style="96" customWidth="1"/>
    <col min="13044" max="13044" width="2.7109375" style="96" customWidth="1"/>
    <col min="13045" max="13047" width="8.7109375" style="96" customWidth="1"/>
    <col min="13048" max="13294" width="9.140625" style="96"/>
    <col min="13295" max="13295" width="23.7109375" style="96" customWidth="1"/>
    <col min="13296" max="13296" width="1.85546875" style="96" customWidth="1"/>
    <col min="13297" max="13297" width="11.28515625" style="96" customWidth="1"/>
    <col min="13298" max="13298" width="4.42578125" style="96" customWidth="1"/>
    <col min="13299" max="13299" width="8" style="96" customWidth="1"/>
    <col min="13300" max="13300" width="2.7109375" style="96" customWidth="1"/>
    <col min="13301" max="13303" width="8.7109375" style="96" customWidth="1"/>
    <col min="13304" max="13550" width="9.140625" style="96"/>
    <col min="13551" max="13551" width="23.7109375" style="96" customWidth="1"/>
    <col min="13552" max="13552" width="1.85546875" style="96" customWidth="1"/>
    <col min="13553" max="13553" width="11.28515625" style="96" customWidth="1"/>
    <col min="13554" max="13554" width="4.42578125" style="96" customWidth="1"/>
    <col min="13555" max="13555" width="8" style="96" customWidth="1"/>
    <col min="13556" max="13556" width="2.7109375" style="96" customWidth="1"/>
    <col min="13557" max="13559" width="8.7109375" style="96" customWidth="1"/>
    <col min="13560" max="13806" width="9.140625" style="96"/>
    <col min="13807" max="13807" width="23.7109375" style="96" customWidth="1"/>
    <col min="13808" max="13808" width="1.85546875" style="96" customWidth="1"/>
    <col min="13809" max="13809" width="11.28515625" style="96" customWidth="1"/>
    <col min="13810" max="13810" width="4.42578125" style="96" customWidth="1"/>
    <col min="13811" max="13811" width="8" style="96" customWidth="1"/>
    <col min="13812" max="13812" width="2.7109375" style="96" customWidth="1"/>
    <col min="13813" max="13815" width="8.7109375" style="96" customWidth="1"/>
    <col min="13816" max="14062" width="9.140625" style="96"/>
    <col min="14063" max="14063" width="23.7109375" style="96" customWidth="1"/>
    <col min="14064" max="14064" width="1.85546875" style="96" customWidth="1"/>
    <col min="14065" max="14065" width="11.28515625" style="96" customWidth="1"/>
    <col min="14066" max="14066" width="4.42578125" style="96" customWidth="1"/>
    <col min="14067" max="14067" width="8" style="96" customWidth="1"/>
    <col min="14068" max="14068" width="2.7109375" style="96" customWidth="1"/>
    <col min="14069" max="14071" width="8.7109375" style="96" customWidth="1"/>
    <col min="14072" max="14318" width="9.140625" style="96"/>
    <col min="14319" max="14319" width="23.7109375" style="96" customWidth="1"/>
    <col min="14320" max="14320" width="1.85546875" style="96" customWidth="1"/>
    <col min="14321" max="14321" width="11.28515625" style="96" customWidth="1"/>
    <col min="14322" max="14322" width="4.42578125" style="96" customWidth="1"/>
    <col min="14323" max="14323" width="8" style="96" customWidth="1"/>
    <col min="14324" max="14324" width="2.7109375" style="96" customWidth="1"/>
    <col min="14325" max="14327" width="8.7109375" style="96" customWidth="1"/>
    <col min="14328" max="14574" width="9.140625" style="96"/>
    <col min="14575" max="14575" width="23.7109375" style="96" customWidth="1"/>
    <col min="14576" max="14576" width="1.85546875" style="96" customWidth="1"/>
    <col min="14577" max="14577" width="11.28515625" style="96" customWidth="1"/>
    <col min="14578" max="14578" width="4.42578125" style="96" customWidth="1"/>
    <col min="14579" max="14579" width="8" style="96" customWidth="1"/>
    <col min="14580" max="14580" width="2.7109375" style="96" customWidth="1"/>
    <col min="14581" max="14583" width="8.7109375" style="96" customWidth="1"/>
    <col min="14584" max="14830" width="9.140625" style="96"/>
    <col min="14831" max="14831" width="23.7109375" style="96" customWidth="1"/>
    <col min="14832" max="14832" width="1.85546875" style="96" customWidth="1"/>
    <col min="14833" max="14833" width="11.28515625" style="96" customWidth="1"/>
    <col min="14834" max="14834" width="4.42578125" style="96" customWidth="1"/>
    <col min="14835" max="14835" width="8" style="96" customWidth="1"/>
    <col min="14836" max="14836" width="2.7109375" style="96" customWidth="1"/>
    <col min="14837" max="14839" width="8.7109375" style="96" customWidth="1"/>
    <col min="14840" max="15086" width="9.140625" style="96"/>
    <col min="15087" max="15087" width="23.7109375" style="96" customWidth="1"/>
    <col min="15088" max="15088" width="1.85546875" style="96" customWidth="1"/>
    <col min="15089" max="15089" width="11.28515625" style="96" customWidth="1"/>
    <col min="15090" max="15090" width="4.42578125" style="96" customWidth="1"/>
    <col min="15091" max="15091" width="8" style="96" customWidth="1"/>
    <col min="15092" max="15092" width="2.7109375" style="96" customWidth="1"/>
    <col min="15093" max="15095" width="8.7109375" style="96" customWidth="1"/>
    <col min="15096" max="15342" width="9.140625" style="96"/>
    <col min="15343" max="15343" width="23.7109375" style="96" customWidth="1"/>
    <col min="15344" max="15344" width="1.85546875" style="96" customWidth="1"/>
    <col min="15345" max="15345" width="11.28515625" style="96" customWidth="1"/>
    <col min="15346" max="15346" width="4.42578125" style="96" customWidth="1"/>
    <col min="15347" max="15347" width="8" style="96" customWidth="1"/>
    <col min="15348" max="15348" width="2.7109375" style="96" customWidth="1"/>
    <col min="15349" max="15351" width="8.7109375" style="96" customWidth="1"/>
    <col min="15352" max="15598" width="9.140625" style="96"/>
    <col min="15599" max="15599" width="23.7109375" style="96" customWidth="1"/>
    <col min="15600" max="15600" width="1.85546875" style="96" customWidth="1"/>
    <col min="15601" max="15601" width="11.28515625" style="96" customWidth="1"/>
    <col min="15602" max="15602" width="4.42578125" style="96" customWidth="1"/>
    <col min="15603" max="15603" width="8" style="96" customWidth="1"/>
    <col min="15604" max="15604" width="2.7109375" style="96" customWidth="1"/>
    <col min="15605" max="15607" width="8.7109375" style="96" customWidth="1"/>
    <col min="15608" max="15854" width="9.140625" style="96"/>
    <col min="15855" max="15855" width="23.7109375" style="96" customWidth="1"/>
    <col min="15856" max="15856" width="1.85546875" style="96" customWidth="1"/>
    <col min="15857" max="15857" width="11.28515625" style="96" customWidth="1"/>
    <col min="15858" max="15858" width="4.42578125" style="96" customWidth="1"/>
    <col min="15859" max="15859" width="8" style="96" customWidth="1"/>
    <col min="15860" max="15860" width="2.7109375" style="96" customWidth="1"/>
    <col min="15861" max="15863" width="8.7109375" style="96" customWidth="1"/>
    <col min="15864" max="16110" width="9.140625" style="96"/>
    <col min="16111" max="16111" width="23.7109375" style="96" customWidth="1"/>
    <col min="16112" max="16112" width="1.85546875" style="96" customWidth="1"/>
    <col min="16113" max="16113" width="11.28515625" style="96" customWidth="1"/>
    <col min="16114" max="16114" width="4.42578125" style="96" customWidth="1"/>
    <col min="16115" max="16115" width="8" style="96" customWidth="1"/>
    <col min="16116" max="16116" width="2.7109375" style="96" customWidth="1"/>
    <col min="16117" max="16119" width="8.7109375" style="96" customWidth="1"/>
    <col min="16120" max="16376" width="9.140625" style="96"/>
    <col min="16377" max="16384" width="9.140625" style="96" customWidth="1"/>
  </cols>
  <sheetData>
    <row r="1" spans="1:15" ht="11.25" customHeight="1" x14ac:dyDescent="0.2">
      <c r="A1" s="206" t="s">
        <v>110</v>
      </c>
      <c r="B1" s="206"/>
      <c r="C1" s="206"/>
      <c r="D1" s="206"/>
      <c r="E1" s="206"/>
      <c r="F1" s="206"/>
      <c r="G1" s="206"/>
      <c r="H1" s="206"/>
      <c r="I1" s="206"/>
      <c r="J1" s="206"/>
      <c r="K1" s="206"/>
      <c r="L1" s="206"/>
    </row>
    <row r="2" spans="1:15" ht="12.6" customHeight="1" x14ac:dyDescent="0.2">
      <c r="A2" s="206" t="s">
        <v>111</v>
      </c>
      <c r="B2" s="206"/>
      <c r="C2" s="206"/>
      <c r="D2" s="206"/>
      <c r="E2" s="206"/>
      <c r="F2" s="206"/>
      <c r="G2" s="206"/>
      <c r="H2" s="206"/>
      <c r="I2" s="206"/>
      <c r="J2" s="206"/>
      <c r="K2" s="206"/>
      <c r="L2" s="206"/>
    </row>
    <row r="3" spans="1:15" ht="11.25" customHeight="1" x14ac:dyDescent="0.2">
      <c r="A3" s="207"/>
      <c r="B3" s="207"/>
      <c r="C3" s="207"/>
      <c r="D3" s="207"/>
      <c r="E3" s="207"/>
      <c r="F3" s="207"/>
      <c r="G3" s="207"/>
      <c r="H3" s="207"/>
      <c r="I3" s="207"/>
      <c r="J3" s="207"/>
      <c r="K3" s="207"/>
      <c r="L3" s="207"/>
    </row>
    <row r="4" spans="1:15" ht="11.25" customHeight="1" x14ac:dyDescent="0.2">
      <c r="A4" s="69"/>
      <c r="B4" s="69"/>
      <c r="C4" s="204" t="s">
        <v>112</v>
      </c>
      <c r="D4" s="204"/>
      <c r="E4" s="204"/>
      <c r="F4" s="152"/>
      <c r="G4" s="205"/>
      <c r="H4" s="205"/>
      <c r="I4" s="205"/>
      <c r="J4" s="205"/>
      <c r="K4" s="205"/>
      <c r="L4" s="70"/>
    </row>
    <row r="5" spans="1:15" ht="11.25" customHeight="1" x14ac:dyDescent="0.2">
      <c r="A5" s="69"/>
      <c r="B5" s="69"/>
      <c r="C5" s="202" t="s">
        <v>113</v>
      </c>
      <c r="D5" s="202"/>
      <c r="E5" s="202"/>
      <c r="F5" s="152"/>
      <c r="G5" s="203" t="s">
        <v>114</v>
      </c>
      <c r="H5" s="203"/>
      <c r="I5" s="203"/>
      <c r="J5" s="203"/>
      <c r="K5" s="203"/>
      <c r="L5" s="70"/>
    </row>
    <row r="6" spans="1:15" ht="11.25" customHeight="1" x14ac:dyDescent="0.2">
      <c r="A6" s="69"/>
      <c r="B6" s="69"/>
      <c r="C6" s="71" t="s">
        <v>115</v>
      </c>
      <c r="D6" s="72"/>
      <c r="E6" s="71" t="s">
        <v>116</v>
      </c>
      <c r="F6" s="71"/>
      <c r="G6" s="209" t="s">
        <v>117</v>
      </c>
      <c r="H6" s="209"/>
      <c r="I6" s="209"/>
      <c r="J6" s="209"/>
      <c r="K6" s="209"/>
      <c r="L6" s="70"/>
    </row>
    <row r="7" spans="1:15" ht="11.25" customHeight="1" x14ac:dyDescent="0.2">
      <c r="A7" s="151" t="s">
        <v>93</v>
      </c>
      <c r="B7" s="153"/>
      <c r="C7" s="73" t="s">
        <v>118</v>
      </c>
      <c r="D7" s="74"/>
      <c r="E7" s="75" t="s">
        <v>119</v>
      </c>
      <c r="F7" s="75"/>
      <c r="G7" s="76">
        <v>2016</v>
      </c>
      <c r="H7" s="77"/>
      <c r="I7" s="76">
        <v>2017</v>
      </c>
      <c r="J7" s="77"/>
      <c r="K7" s="76">
        <v>2018</v>
      </c>
      <c r="L7" s="78"/>
    </row>
    <row r="8" spans="1:15" ht="11.25" customHeight="1" x14ac:dyDescent="0.2">
      <c r="A8" s="79" t="s">
        <v>23</v>
      </c>
      <c r="B8" s="69"/>
      <c r="C8" s="97">
        <v>1036982</v>
      </c>
      <c r="D8" s="98"/>
      <c r="E8" s="97">
        <v>23305.85</v>
      </c>
      <c r="F8" s="98"/>
      <c r="G8" s="99">
        <v>-2.08</v>
      </c>
      <c r="H8" s="99"/>
      <c r="I8" s="99">
        <v>2.819</v>
      </c>
      <c r="J8" s="99"/>
      <c r="K8" s="99">
        <v>-2.5649999999999999</v>
      </c>
      <c r="L8" s="80"/>
      <c r="O8" s="69"/>
    </row>
    <row r="9" spans="1:15" ht="11.25" customHeight="1" x14ac:dyDescent="0.2">
      <c r="A9" s="81" t="s">
        <v>97</v>
      </c>
      <c r="B9" s="69"/>
      <c r="C9" s="100">
        <v>14619</v>
      </c>
      <c r="D9" s="69"/>
      <c r="E9" s="100">
        <v>38824.769999999997</v>
      </c>
      <c r="F9" s="69"/>
      <c r="G9" s="101">
        <v>1.444</v>
      </c>
      <c r="H9" s="101"/>
      <c r="I9" s="101">
        <v>3.1160000000000001</v>
      </c>
      <c r="J9" s="101"/>
      <c r="K9" s="101">
        <v>3.0259999999999998</v>
      </c>
      <c r="L9" s="80"/>
    </row>
    <row r="10" spans="1:15" ht="11.25" customHeight="1" x14ac:dyDescent="0.2">
      <c r="A10" s="79" t="s">
        <v>75</v>
      </c>
      <c r="B10" s="69"/>
      <c r="C10" s="100">
        <v>4601</v>
      </c>
      <c r="D10" s="69"/>
      <c r="E10" s="100">
        <v>16062.31</v>
      </c>
      <c r="F10" s="69"/>
      <c r="G10" s="101">
        <v>2.4849999999999999</v>
      </c>
      <c r="H10" s="101"/>
      <c r="I10" s="101">
        <v>0.47799999999999998</v>
      </c>
      <c r="J10" s="101"/>
      <c r="K10" s="101">
        <v>-0.58299999999999996</v>
      </c>
      <c r="L10" s="80"/>
    </row>
    <row r="11" spans="1:15" ht="11.25" customHeight="1" x14ac:dyDescent="0.2">
      <c r="A11" s="79" t="s">
        <v>26</v>
      </c>
      <c r="B11" s="69"/>
      <c r="C11" s="100">
        <v>2792</v>
      </c>
      <c r="D11" s="72"/>
      <c r="E11" s="100">
        <v>7014.92</v>
      </c>
      <c r="F11" s="72"/>
      <c r="G11" s="101">
        <v>0.104</v>
      </c>
      <c r="H11" s="101"/>
      <c r="I11" s="101">
        <v>1.863</v>
      </c>
      <c r="J11" s="101"/>
      <c r="K11" s="101">
        <v>2.0790000000000002</v>
      </c>
      <c r="L11" s="80"/>
    </row>
    <row r="12" spans="1:15" ht="11.25" customHeight="1" x14ac:dyDescent="0.2">
      <c r="A12" s="79" t="s">
        <v>27</v>
      </c>
      <c r="B12" s="69"/>
      <c r="C12" s="100">
        <v>100627</v>
      </c>
      <c r="D12" s="69"/>
      <c r="E12" s="100">
        <v>8841.14</v>
      </c>
      <c r="F12" s="69"/>
      <c r="G12" s="101">
        <v>4.2640000000000002</v>
      </c>
      <c r="H12" s="101"/>
      <c r="I12" s="101">
        <v>4.1950000000000003</v>
      </c>
      <c r="J12" s="101"/>
      <c r="K12" s="101">
        <v>4.2240000000000002</v>
      </c>
      <c r="L12" s="80"/>
      <c r="O12" s="69"/>
    </row>
    <row r="13" spans="1:15" ht="11.25" customHeight="1" x14ac:dyDescent="0.2">
      <c r="A13" s="79" t="s">
        <v>28</v>
      </c>
      <c r="B13" s="69"/>
      <c r="C13" s="100">
        <v>3130872</v>
      </c>
      <c r="D13" s="69"/>
      <c r="E13" s="100">
        <v>15016.54</v>
      </c>
      <c r="F13" s="69"/>
      <c r="G13" s="101">
        <v>-3.2759999999999998</v>
      </c>
      <c r="H13" s="101"/>
      <c r="I13" s="101">
        <v>1.323</v>
      </c>
      <c r="J13" s="101"/>
      <c r="K13" s="101">
        <v>1.3169999999999999</v>
      </c>
      <c r="L13" s="80"/>
      <c r="O13" s="69"/>
    </row>
    <row r="14" spans="1:15" ht="11.25" customHeight="1" x14ac:dyDescent="0.2">
      <c r="A14" s="79" t="s">
        <v>29</v>
      </c>
      <c r="B14" s="82"/>
      <c r="C14" s="100">
        <v>1856559</v>
      </c>
      <c r="D14" s="82"/>
      <c r="E14" s="100">
        <v>50185.74</v>
      </c>
      <c r="F14" s="82"/>
      <c r="G14" s="101">
        <v>1.0009999999999999</v>
      </c>
      <c r="H14" s="101"/>
      <c r="I14" s="101">
        <v>3.1709999999999998</v>
      </c>
      <c r="J14" s="101"/>
      <c r="K14" s="101">
        <v>2.0139999999999998</v>
      </c>
      <c r="L14" s="80"/>
    </row>
    <row r="15" spans="1:15" ht="11.25" customHeight="1" x14ac:dyDescent="0.2">
      <c r="A15" s="79" t="s">
        <v>30</v>
      </c>
      <c r="B15" s="69"/>
      <c r="C15" s="100">
        <v>465171</v>
      </c>
      <c r="D15" s="69"/>
      <c r="E15" s="100">
        <v>24807.25</v>
      </c>
      <c r="F15" s="69"/>
      <c r="G15" s="101">
        <v>1.732</v>
      </c>
      <c r="H15" s="101"/>
      <c r="I15" s="101">
        <v>1.1679999999999999</v>
      </c>
      <c r="J15" s="101"/>
      <c r="K15" s="101">
        <v>3.952</v>
      </c>
      <c r="L15" s="80"/>
      <c r="O15" s="69"/>
    </row>
    <row r="16" spans="1:15" ht="11.25" customHeight="1" x14ac:dyDescent="0.2">
      <c r="A16" s="79" t="s">
        <v>31</v>
      </c>
      <c r="B16" s="69"/>
      <c r="C16" s="100">
        <v>734931</v>
      </c>
      <c r="D16" s="69"/>
      <c r="E16" s="100">
        <v>14747.58</v>
      </c>
      <c r="F16" s="69"/>
      <c r="G16" s="101">
        <v>2.0870000000000002</v>
      </c>
      <c r="H16" s="101"/>
      <c r="I16" s="101">
        <v>1.359</v>
      </c>
      <c r="J16" s="101"/>
      <c r="K16" s="101">
        <v>2.5150000000000001</v>
      </c>
      <c r="L16" s="80"/>
      <c r="O16" s="69"/>
    </row>
    <row r="17" spans="1:15" ht="11.25" customHeight="1" x14ac:dyDescent="0.2">
      <c r="A17" s="79" t="s">
        <v>32</v>
      </c>
      <c r="B17" s="69"/>
      <c r="C17" s="100">
        <v>99454</v>
      </c>
      <c r="D17" s="72"/>
      <c r="E17" s="100">
        <v>19802.5</v>
      </c>
      <c r="F17" s="72"/>
      <c r="G17" s="101">
        <v>4.2460000000000004</v>
      </c>
      <c r="H17" s="101"/>
      <c r="I17" s="101">
        <v>3.86</v>
      </c>
      <c r="J17" s="101"/>
      <c r="K17" s="101">
        <v>2.66</v>
      </c>
      <c r="L17" s="80"/>
    </row>
    <row r="18" spans="1:15" ht="11.25" customHeight="1" x14ac:dyDescent="0.2">
      <c r="A18" s="83" t="s">
        <v>120</v>
      </c>
      <c r="B18" s="69"/>
      <c r="C18" s="72">
        <v>100023</v>
      </c>
      <c r="D18" s="150"/>
      <c r="E18" s="72">
        <v>8822</v>
      </c>
      <c r="F18" s="150"/>
      <c r="G18" s="101">
        <v>0.51376146788990695</v>
      </c>
      <c r="H18" s="80"/>
      <c r="I18" s="101">
        <v>1.8090543994158566</v>
      </c>
      <c r="J18" s="80"/>
      <c r="K18" s="101">
        <v>2.2484803930358055</v>
      </c>
      <c r="L18" s="80"/>
    </row>
    <row r="19" spans="1:15" ht="11.25" customHeight="1" x14ac:dyDescent="0.2">
      <c r="A19" s="79" t="s">
        <v>99</v>
      </c>
      <c r="B19" s="69"/>
      <c r="C19" s="102">
        <v>838</v>
      </c>
      <c r="D19" s="69"/>
      <c r="E19" s="100">
        <v>11839.59</v>
      </c>
      <c r="F19" s="69"/>
      <c r="G19" s="101">
        <v>2.5219999999999998</v>
      </c>
      <c r="H19" s="101"/>
      <c r="I19" s="101">
        <v>-9.5299999999999994</v>
      </c>
      <c r="J19" s="101"/>
      <c r="K19" s="101">
        <v>0.53300000000000003</v>
      </c>
      <c r="L19" s="80"/>
    </row>
    <row r="20" spans="1:15" ht="11.25" customHeight="1" x14ac:dyDescent="0.2">
      <c r="A20" s="79" t="s">
        <v>34</v>
      </c>
      <c r="B20" s="69"/>
      <c r="C20" s="100">
        <v>192745</v>
      </c>
      <c r="D20" s="69"/>
      <c r="E20" s="100">
        <v>18774.82</v>
      </c>
      <c r="F20" s="69"/>
      <c r="G20" s="101">
        <v>6.6589999999999998</v>
      </c>
      <c r="H20" s="101"/>
      <c r="I20" s="101">
        <v>4.6669999999999998</v>
      </c>
      <c r="J20" s="101"/>
      <c r="K20" s="101">
        <v>6.9829999999999997</v>
      </c>
      <c r="L20" s="80"/>
    </row>
    <row r="21" spans="1:15" ht="11.25" customHeight="1" x14ac:dyDescent="0.2">
      <c r="A21" s="79" t="s">
        <v>35</v>
      </c>
      <c r="B21" s="69"/>
      <c r="C21" s="100">
        <v>202268</v>
      </c>
      <c r="D21" s="69"/>
      <c r="E21" s="100">
        <v>11881.73</v>
      </c>
      <c r="F21" s="69"/>
      <c r="G21" s="101">
        <v>-1.226</v>
      </c>
      <c r="H21" s="101"/>
      <c r="I21" s="101">
        <v>2.3679999999999999</v>
      </c>
      <c r="J21" s="101"/>
      <c r="K21" s="101">
        <v>1.2889999999999999</v>
      </c>
      <c r="L21" s="80"/>
      <c r="O21" s="69"/>
    </row>
    <row r="22" spans="1:15" ht="11.25" customHeight="1" x14ac:dyDescent="0.2">
      <c r="A22" s="79" t="s">
        <v>36</v>
      </c>
      <c r="B22" s="69"/>
      <c r="C22" s="100">
        <v>56646</v>
      </c>
      <c r="D22" s="69"/>
      <c r="E22" s="100">
        <v>8822.32</v>
      </c>
      <c r="F22" s="69"/>
      <c r="G22" s="101">
        <v>2.5419999999999998</v>
      </c>
      <c r="H22" s="101"/>
      <c r="I22" s="101">
        <v>2.2530000000000001</v>
      </c>
      <c r="J22" s="101"/>
      <c r="K22" s="101">
        <v>2.4300000000000002</v>
      </c>
      <c r="L22" s="80"/>
    </row>
    <row r="23" spans="1:15" ht="11.25" customHeight="1" x14ac:dyDescent="0.2">
      <c r="A23" s="79" t="s">
        <v>38</v>
      </c>
      <c r="B23" s="149"/>
      <c r="C23" s="100">
        <v>141423</v>
      </c>
      <c r="D23" s="149"/>
      <c r="E23" s="100">
        <v>8192.33</v>
      </c>
      <c r="F23" s="149"/>
      <c r="G23" s="101">
        <v>2.6779999999999999</v>
      </c>
      <c r="H23" s="101"/>
      <c r="I23" s="101">
        <v>3.0230000000000001</v>
      </c>
      <c r="J23" s="101"/>
      <c r="K23" s="101">
        <v>3.2149999999999999</v>
      </c>
      <c r="L23" s="80"/>
    </row>
    <row r="24" spans="1:15" ht="11.25" customHeight="1" x14ac:dyDescent="0.2">
      <c r="A24" s="79" t="s">
        <v>39</v>
      </c>
      <c r="B24" s="69"/>
      <c r="C24" s="100">
        <v>9953</v>
      </c>
      <c r="D24" s="69"/>
      <c r="E24" s="100">
        <v>12724.6</v>
      </c>
      <c r="F24" s="69"/>
      <c r="G24" s="101">
        <v>3.8069999999999999</v>
      </c>
      <c r="H24" s="101"/>
      <c r="I24" s="101">
        <v>3.734</v>
      </c>
      <c r="J24" s="101"/>
      <c r="K24" s="101">
        <v>4.4409999999999998</v>
      </c>
      <c r="L24" s="80"/>
      <c r="O24" s="69"/>
    </row>
    <row r="25" spans="1:15" ht="11.25" customHeight="1" x14ac:dyDescent="0.2">
      <c r="A25" s="79" t="s">
        <v>77</v>
      </c>
      <c r="B25" s="84"/>
      <c r="C25" s="100">
        <v>20126</v>
      </c>
      <c r="D25" s="84"/>
      <c r="E25" s="100">
        <v>1809.34</v>
      </c>
      <c r="F25" s="84"/>
      <c r="G25" s="101">
        <v>1.4530000000000001</v>
      </c>
      <c r="H25" s="101"/>
      <c r="I25" s="101">
        <v>1.173</v>
      </c>
      <c r="J25" s="101"/>
      <c r="K25" s="101">
        <v>1.484</v>
      </c>
      <c r="L25" s="80"/>
    </row>
    <row r="26" spans="1:15" ht="11.25" customHeight="1" x14ac:dyDescent="0.2">
      <c r="A26" s="79" t="s">
        <v>40</v>
      </c>
      <c r="B26" s="69"/>
      <c r="C26" s="100">
        <v>55603</v>
      </c>
      <c r="D26" s="69"/>
      <c r="E26" s="100">
        <v>5790.99</v>
      </c>
      <c r="F26" s="69"/>
      <c r="G26" s="101">
        <v>3.8929999999999998</v>
      </c>
      <c r="H26" s="101"/>
      <c r="I26" s="101">
        <v>4.843</v>
      </c>
      <c r="J26" s="101"/>
      <c r="K26" s="101">
        <v>3.6970000000000001</v>
      </c>
      <c r="L26" s="80"/>
    </row>
    <row r="27" spans="1:15" ht="11.25" customHeight="1" x14ac:dyDescent="0.2">
      <c r="A27" s="81" t="s">
        <v>41</v>
      </c>
      <c r="B27" s="69"/>
      <c r="C27" s="100">
        <v>29250</v>
      </c>
      <c r="D27" s="69"/>
      <c r="E27" s="100">
        <v>10724.11</v>
      </c>
      <c r="F27" s="69"/>
      <c r="G27" s="101">
        <v>1.4990000000000001</v>
      </c>
      <c r="H27" s="101"/>
      <c r="I27" s="101">
        <v>0.68700000000000006</v>
      </c>
      <c r="J27" s="101"/>
      <c r="K27" s="101">
        <v>1.8859999999999999</v>
      </c>
      <c r="L27" s="80"/>
    </row>
    <row r="28" spans="1:15" ht="11.25" customHeight="1" x14ac:dyDescent="0.2">
      <c r="A28" s="79" t="s">
        <v>42</v>
      </c>
      <c r="B28" s="82"/>
      <c r="C28" s="100">
        <v>2587707</v>
      </c>
      <c r="D28" s="82"/>
      <c r="E28" s="100">
        <v>20506.310000000001</v>
      </c>
      <c r="F28" s="82"/>
      <c r="G28" s="101">
        <v>2.6309999999999998</v>
      </c>
      <c r="H28" s="101"/>
      <c r="I28" s="101">
        <v>2.113</v>
      </c>
      <c r="J28" s="101"/>
      <c r="K28" s="101">
        <v>2.202</v>
      </c>
      <c r="L28" s="80"/>
    </row>
    <row r="29" spans="1:15" ht="11.25" customHeight="1" x14ac:dyDescent="0.2">
      <c r="A29" s="79" t="s">
        <v>43</v>
      </c>
      <c r="B29" s="69"/>
      <c r="C29" s="100">
        <v>37704</v>
      </c>
      <c r="D29" s="69"/>
      <c r="E29" s="100">
        <v>5836.23</v>
      </c>
      <c r="F29" s="69"/>
      <c r="G29" s="101">
        <v>4.5629999999999997</v>
      </c>
      <c r="H29" s="101"/>
      <c r="I29" s="101">
        <v>4.6310000000000002</v>
      </c>
      <c r="J29" s="101"/>
      <c r="K29" s="101">
        <v>-3.95</v>
      </c>
      <c r="L29" s="80"/>
    </row>
    <row r="30" spans="1:15" ht="11.25" customHeight="1" x14ac:dyDescent="0.2">
      <c r="A30" s="79" t="s">
        <v>44</v>
      </c>
      <c r="B30" s="69"/>
      <c r="C30" s="100">
        <v>132802</v>
      </c>
      <c r="D30" s="69"/>
      <c r="E30" s="100">
        <v>31933.02</v>
      </c>
      <c r="F30" s="69"/>
      <c r="G30" s="101">
        <v>4.9530000000000003</v>
      </c>
      <c r="H30" s="101"/>
      <c r="I30" s="101">
        <v>5.5990000000000002</v>
      </c>
      <c r="J30" s="101"/>
      <c r="K30" s="101">
        <v>3.6920000000000002</v>
      </c>
      <c r="L30" s="80"/>
    </row>
    <row r="31" spans="1:15" ht="11.25" customHeight="1" x14ac:dyDescent="0.2">
      <c r="A31" s="79" t="s">
        <v>45</v>
      </c>
      <c r="B31" s="69"/>
      <c r="C31" s="100">
        <v>91535</v>
      </c>
      <c r="D31" s="69"/>
      <c r="E31" s="100">
        <v>12978.19</v>
      </c>
      <c r="F31" s="69"/>
      <c r="G31" s="101">
        <v>4.3129999999999997</v>
      </c>
      <c r="H31" s="101"/>
      <c r="I31" s="101">
        <v>4.9539999999999997</v>
      </c>
      <c r="J31" s="101"/>
      <c r="K31" s="101">
        <v>3.3559999999999999</v>
      </c>
      <c r="L31" s="80"/>
      <c r="O31" s="69"/>
    </row>
    <row r="32" spans="1:15" ht="11.25" customHeight="1" x14ac:dyDescent="0.2">
      <c r="A32" s="79" t="s">
        <v>46</v>
      </c>
      <c r="B32" s="69"/>
      <c r="C32" s="100">
        <v>424966</v>
      </c>
      <c r="D32" s="69"/>
      <c r="E32" s="100">
        <v>13213.22</v>
      </c>
      <c r="F32" s="69"/>
      <c r="G32" s="101">
        <v>4.05</v>
      </c>
      <c r="H32" s="101"/>
      <c r="I32" s="101">
        <v>2.4750000000000001</v>
      </c>
      <c r="J32" s="101"/>
      <c r="K32" s="101">
        <v>3.9689999999999999</v>
      </c>
      <c r="L32" s="80"/>
      <c r="O32" s="69"/>
    </row>
    <row r="33" spans="1:15" ht="11.25" customHeight="1" x14ac:dyDescent="0.2">
      <c r="A33" s="79" t="s">
        <v>101</v>
      </c>
      <c r="B33" s="69"/>
      <c r="C33" s="100">
        <v>112138</v>
      </c>
      <c r="D33" s="69"/>
      <c r="E33" s="100">
        <v>35043.199999999997</v>
      </c>
      <c r="F33" s="69"/>
      <c r="G33" s="101">
        <v>-1.2629999999999999</v>
      </c>
      <c r="H33" s="101"/>
      <c r="I33" s="101">
        <v>-2.657</v>
      </c>
      <c r="J33" s="101"/>
      <c r="K33" s="101">
        <v>-4.9059999999999997</v>
      </c>
      <c r="L33" s="80"/>
    </row>
    <row r="34" spans="1:15" ht="11.25" customHeight="1" x14ac:dyDescent="0.2">
      <c r="A34" s="79" t="s">
        <v>102</v>
      </c>
      <c r="B34" s="69"/>
      <c r="C34" s="100">
        <v>1391</v>
      </c>
      <c r="D34" s="69"/>
      <c r="E34" s="100">
        <v>24849.94</v>
      </c>
      <c r="F34" s="69"/>
      <c r="G34" s="101">
        <v>2.8279999999999998</v>
      </c>
      <c r="H34" s="101"/>
      <c r="I34" s="101">
        <v>-1.978</v>
      </c>
      <c r="J34" s="101"/>
      <c r="K34" s="101">
        <v>2.9239999999999999</v>
      </c>
      <c r="L34" s="80"/>
    </row>
    <row r="35" spans="1:15" ht="11.25" customHeight="1" x14ac:dyDescent="0.2">
      <c r="A35" s="79" t="s">
        <v>47</v>
      </c>
      <c r="B35" s="69"/>
      <c r="C35" s="100">
        <v>9811</v>
      </c>
      <c r="D35" s="69"/>
      <c r="E35" s="100">
        <v>16626.759999999998</v>
      </c>
      <c r="F35" s="69"/>
      <c r="G35" s="101">
        <v>-5.56</v>
      </c>
      <c r="H35" s="101"/>
      <c r="I35" s="101">
        <v>1.762</v>
      </c>
      <c r="J35" s="101"/>
      <c r="K35" s="101">
        <v>2.58</v>
      </c>
      <c r="L35" s="80"/>
      <c r="O35" s="69"/>
    </row>
    <row r="36" spans="1:15" ht="11.25" customHeight="1" x14ac:dyDescent="0.2">
      <c r="A36" s="79" t="s">
        <v>48</v>
      </c>
      <c r="B36" s="69"/>
      <c r="C36" s="100">
        <v>37392</v>
      </c>
      <c r="D36" s="69"/>
      <c r="E36" s="100">
        <v>26904.04</v>
      </c>
      <c r="F36" s="69"/>
      <c r="G36" s="101">
        <v>-6.2960000000000003</v>
      </c>
      <c r="H36" s="101"/>
      <c r="I36" s="101">
        <v>-2.3119999999999998</v>
      </c>
      <c r="J36" s="101"/>
      <c r="K36" s="101">
        <v>-0.245</v>
      </c>
      <c r="L36" s="80"/>
    </row>
    <row r="37" spans="1:15" ht="11.25" customHeight="1" x14ac:dyDescent="0.2">
      <c r="A37" s="79" t="s">
        <v>53</v>
      </c>
      <c r="B37" s="82"/>
      <c r="C37" s="100">
        <v>20611875</v>
      </c>
      <c r="D37" s="69"/>
      <c r="E37" s="100">
        <v>63055.98</v>
      </c>
      <c r="F37" s="69"/>
      <c r="G37" s="101">
        <v>1.7110000000000001</v>
      </c>
      <c r="H37" s="101"/>
      <c r="I37" s="101">
        <v>2.3330000000000002</v>
      </c>
      <c r="J37" s="101"/>
      <c r="K37" s="101">
        <v>2.9969999999999999</v>
      </c>
      <c r="L37" s="80"/>
    </row>
    <row r="38" spans="1:15" ht="11.25" customHeight="1" x14ac:dyDescent="0.2">
      <c r="A38" s="79" t="s">
        <v>49</v>
      </c>
      <c r="B38" s="69"/>
      <c r="C38" s="100">
        <v>76261</v>
      </c>
      <c r="D38" s="69"/>
      <c r="E38" s="100">
        <v>21751.75</v>
      </c>
      <c r="F38" s="69"/>
      <c r="G38" s="101">
        <v>1.69</v>
      </c>
      <c r="H38" s="101"/>
      <c r="I38" s="101">
        <v>2.5910000000000002</v>
      </c>
      <c r="J38" s="101"/>
      <c r="K38" s="101">
        <v>1.62</v>
      </c>
      <c r="L38" s="80"/>
      <c r="O38" s="69"/>
    </row>
    <row r="39" spans="1:15" ht="11.25" customHeight="1" x14ac:dyDescent="0.2">
      <c r="A39" s="79" t="s">
        <v>104</v>
      </c>
      <c r="B39" s="69"/>
      <c r="C39" s="103">
        <v>308781</v>
      </c>
      <c r="D39" s="104"/>
      <c r="E39" s="103">
        <v>10683.19</v>
      </c>
      <c r="F39" s="104"/>
      <c r="G39" s="105">
        <v>-17.04</v>
      </c>
      <c r="H39" s="105"/>
      <c r="I39" s="105">
        <v>-15.670999999999999</v>
      </c>
      <c r="J39" s="105"/>
      <c r="K39" s="105">
        <v>-19.620999999999999</v>
      </c>
      <c r="L39" s="69"/>
      <c r="O39" s="69"/>
    </row>
    <row r="40" spans="1:15" ht="12" customHeight="1" x14ac:dyDescent="0.2">
      <c r="A40" s="85" t="s">
        <v>51</v>
      </c>
      <c r="B40" s="69"/>
      <c r="C40" s="106">
        <v>32687846</v>
      </c>
      <c r="D40" s="107"/>
      <c r="E40" s="106">
        <v>32546.433665960983</v>
      </c>
      <c r="F40" s="108">
        <v>4</v>
      </c>
      <c r="G40" s="109">
        <v>0.2</v>
      </c>
      <c r="H40" s="110">
        <v>5</v>
      </c>
      <c r="I40" s="109">
        <v>1.7</v>
      </c>
      <c r="J40" s="110">
        <v>5</v>
      </c>
      <c r="K40" s="109">
        <v>1.6</v>
      </c>
      <c r="L40" s="108">
        <v>5</v>
      </c>
    </row>
    <row r="41" spans="1:15" ht="11.25" customHeight="1" x14ac:dyDescent="0.2">
      <c r="A41" s="86" t="s">
        <v>121</v>
      </c>
      <c r="B41" s="153"/>
      <c r="C41" s="87">
        <v>128711608</v>
      </c>
      <c r="D41" s="88"/>
      <c r="E41" s="89">
        <v>16953.706592974526</v>
      </c>
      <c r="F41" s="90">
        <v>4</v>
      </c>
      <c r="G41" s="91">
        <v>3.3</v>
      </c>
      <c r="H41" s="88"/>
      <c r="I41" s="92">
        <v>3.8</v>
      </c>
      <c r="J41" s="88"/>
      <c r="K41" s="92">
        <v>3.5</v>
      </c>
      <c r="L41" s="88"/>
    </row>
    <row r="42" spans="1:15" ht="11.25" customHeight="1" x14ac:dyDescent="0.25">
      <c r="A42" s="210" t="s">
        <v>122</v>
      </c>
      <c r="B42" s="210"/>
      <c r="C42" s="210"/>
      <c r="D42" s="210"/>
      <c r="E42" s="210"/>
      <c r="F42" s="210"/>
      <c r="G42" s="210"/>
      <c r="H42" s="210"/>
      <c r="I42" s="210"/>
      <c r="J42" s="210"/>
      <c r="K42" s="210"/>
      <c r="L42" s="211"/>
    </row>
    <row r="43" spans="1:15" ht="22.15" customHeight="1" x14ac:dyDescent="0.25">
      <c r="A43" s="212" t="s">
        <v>131</v>
      </c>
      <c r="B43" s="212"/>
      <c r="C43" s="212"/>
      <c r="D43" s="212"/>
      <c r="E43" s="212"/>
      <c r="F43" s="212"/>
      <c r="G43" s="212"/>
      <c r="H43" s="212"/>
      <c r="I43" s="212"/>
      <c r="J43" s="212"/>
      <c r="K43" s="212"/>
      <c r="L43" s="213"/>
    </row>
    <row r="44" spans="1:15" ht="11.25" customHeight="1" x14ac:dyDescent="0.2">
      <c r="A44" s="214" t="s">
        <v>123</v>
      </c>
      <c r="B44" s="214"/>
      <c r="C44" s="214"/>
      <c r="D44" s="214"/>
      <c r="E44" s="214"/>
      <c r="F44" s="214"/>
      <c r="G44" s="214"/>
      <c r="H44" s="214"/>
      <c r="I44" s="214"/>
      <c r="J44" s="214"/>
      <c r="K44" s="214"/>
      <c r="L44" s="214"/>
    </row>
    <row r="45" spans="1:15" ht="11.25" customHeight="1" x14ac:dyDescent="0.2">
      <c r="A45" s="215" t="s">
        <v>124</v>
      </c>
      <c r="B45" s="216"/>
      <c r="C45" s="216"/>
      <c r="D45" s="216"/>
      <c r="E45" s="216"/>
      <c r="F45" s="216"/>
      <c r="G45" s="216"/>
      <c r="H45" s="216"/>
      <c r="I45" s="216"/>
      <c r="J45" s="216"/>
      <c r="K45" s="216"/>
      <c r="L45" s="216"/>
    </row>
    <row r="46" spans="1:15" ht="11.25" customHeight="1" x14ac:dyDescent="0.2">
      <c r="A46" s="215" t="s">
        <v>125</v>
      </c>
      <c r="B46" s="216"/>
      <c r="C46" s="216"/>
      <c r="D46" s="216"/>
      <c r="E46" s="216"/>
      <c r="F46" s="216"/>
      <c r="G46" s="216"/>
      <c r="H46" s="216"/>
      <c r="I46" s="216"/>
      <c r="J46" s="216"/>
      <c r="K46" s="216"/>
      <c r="L46" s="216"/>
    </row>
    <row r="47" spans="1:15" ht="22.9" customHeight="1" x14ac:dyDescent="0.2">
      <c r="A47" s="208" t="s">
        <v>126</v>
      </c>
      <c r="B47" s="208"/>
      <c r="C47" s="208"/>
      <c r="D47" s="208"/>
      <c r="E47" s="208"/>
      <c r="F47" s="208"/>
      <c r="G47" s="208"/>
      <c r="H47" s="208"/>
      <c r="I47" s="208"/>
      <c r="J47" s="208"/>
      <c r="K47" s="208"/>
      <c r="L47" s="208"/>
    </row>
  </sheetData>
  <mergeCells count="14">
    <mergeCell ref="A47:L47"/>
    <mergeCell ref="G6:K6"/>
    <mergeCell ref="A42:L42"/>
    <mergeCell ref="A43:L43"/>
    <mergeCell ref="A44:L44"/>
    <mergeCell ref="A45:L45"/>
    <mergeCell ref="A46:L46"/>
    <mergeCell ref="C5:E5"/>
    <mergeCell ref="G5:K5"/>
    <mergeCell ref="C4:E4"/>
    <mergeCell ref="G4:K4"/>
    <mergeCell ref="A1:L1"/>
    <mergeCell ref="A2:L2"/>
    <mergeCell ref="A3:L3"/>
  </mergeCells>
  <pageMargins left="0.5" right="0.5" top="0.5" bottom="0.75" header="0.5" footer="0.5"/>
  <pageSetup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A3D2-7141-4AC7-8F85-A244725C7C61}">
  <dimension ref="A1:V226"/>
  <sheetViews>
    <sheetView zoomScale="120" zoomScaleNormal="120" workbookViewId="0">
      <selection sqref="A1:V1"/>
    </sheetView>
  </sheetViews>
  <sheetFormatPr defaultColWidth="9.140625" defaultRowHeight="11.25" customHeight="1" x14ac:dyDescent="0.25"/>
  <cols>
    <col min="1" max="1" width="18.7109375" style="62" customWidth="1"/>
    <col min="2" max="2" width="1.7109375" style="62" customWidth="1"/>
    <col min="3" max="3" width="8.7109375" style="62" customWidth="1"/>
    <col min="4" max="4" width="1.7109375" style="62" customWidth="1"/>
    <col min="5" max="5" width="8.7109375" style="62" customWidth="1"/>
    <col min="6" max="6" width="1.7109375" style="62" customWidth="1"/>
    <col min="7" max="7" width="8.7109375" style="62" customWidth="1"/>
    <col min="8" max="8" width="1.7109375" style="62" customWidth="1"/>
    <col min="9" max="9" width="9.140625" style="62" customWidth="1"/>
    <col min="10" max="10" width="1.7109375" style="62" customWidth="1"/>
    <col min="11" max="11" width="8.7109375" style="62" customWidth="1"/>
    <col min="12" max="12" width="1.7109375" style="62" customWidth="1"/>
    <col min="13" max="13" width="8.7109375" style="62" customWidth="1"/>
    <col min="14" max="14" width="1.7109375" style="62" customWidth="1"/>
    <col min="15" max="15" width="8.7109375" style="62" customWidth="1"/>
    <col min="16" max="16" width="1.7109375" style="62" customWidth="1"/>
    <col min="17" max="17" width="9.28515625" style="62" customWidth="1"/>
    <col min="18" max="18" width="1.7109375" style="62" customWidth="1"/>
    <col min="19" max="19" width="8.7109375" style="62" customWidth="1"/>
    <col min="20" max="20" width="1.7109375" style="62" customWidth="1"/>
    <col min="21" max="21" width="8.7109375" style="62" customWidth="1"/>
    <col min="22" max="22" width="1.7109375" style="62" customWidth="1"/>
    <col min="23" max="16384" width="9.140625" style="62"/>
  </cols>
  <sheetData>
    <row r="1" spans="1:22" ht="11.25" customHeight="1" x14ac:dyDescent="0.25">
      <c r="A1" s="220" t="s">
        <v>130</v>
      </c>
      <c r="B1" s="221"/>
      <c r="C1" s="221"/>
      <c r="D1" s="221"/>
      <c r="E1" s="221"/>
      <c r="F1" s="221"/>
      <c r="G1" s="221"/>
      <c r="H1" s="221"/>
      <c r="I1" s="221"/>
      <c r="J1" s="221"/>
      <c r="K1" s="221"/>
      <c r="L1" s="221"/>
      <c r="M1" s="221"/>
      <c r="N1" s="221"/>
      <c r="O1" s="221"/>
      <c r="P1" s="221"/>
      <c r="Q1" s="221"/>
      <c r="R1" s="221"/>
      <c r="S1" s="221"/>
      <c r="T1" s="221"/>
      <c r="U1" s="221"/>
      <c r="V1" s="221"/>
    </row>
    <row r="2" spans="1:22" ht="11.25" customHeight="1" x14ac:dyDescent="0.25">
      <c r="A2" s="222" t="s">
        <v>0</v>
      </c>
      <c r="B2" s="221"/>
      <c r="C2" s="221"/>
      <c r="D2" s="221"/>
      <c r="E2" s="221"/>
      <c r="F2" s="221"/>
      <c r="G2" s="221"/>
      <c r="H2" s="221"/>
      <c r="I2" s="221"/>
      <c r="J2" s="221"/>
      <c r="K2" s="221"/>
      <c r="L2" s="221"/>
      <c r="M2" s="221"/>
      <c r="N2" s="221"/>
      <c r="O2" s="221"/>
      <c r="P2" s="221"/>
      <c r="Q2" s="221"/>
      <c r="R2" s="221"/>
      <c r="S2" s="221"/>
      <c r="T2" s="221"/>
      <c r="U2" s="219"/>
      <c r="V2" s="219"/>
    </row>
    <row r="3" spans="1:22" ht="11.25" customHeight="1" x14ac:dyDescent="0.25">
      <c r="A3" s="218"/>
      <c r="B3" s="219"/>
      <c r="C3" s="219"/>
      <c r="D3" s="219"/>
      <c r="E3" s="219"/>
      <c r="F3" s="219"/>
      <c r="G3" s="219"/>
      <c r="H3" s="219"/>
      <c r="I3" s="219"/>
      <c r="J3" s="219"/>
      <c r="K3" s="219"/>
      <c r="L3" s="219"/>
      <c r="M3" s="219"/>
      <c r="N3" s="219"/>
      <c r="O3" s="219"/>
      <c r="P3" s="219"/>
      <c r="Q3" s="219"/>
      <c r="R3" s="219"/>
      <c r="S3" s="219"/>
      <c r="T3" s="219"/>
      <c r="U3" s="219"/>
      <c r="V3" s="219"/>
    </row>
    <row r="4" spans="1:22" ht="11.25" customHeight="1" x14ac:dyDescent="0.25">
      <c r="A4" s="220" t="s">
        <v>143</v>
      </c>
      <c r="B4" s="221"/>
      <c r="C4" s="221"/>
      <c r="D4" s="221"/>
      <c r="E4" s="221"/>
      <c r="F4" s="221"/>
      <c r="G4" s="221"/>
      <c r="H4" s="221"/>
      <c r="I4" s="221"/>
      <c r="J4" s="221"/>
      <c r="K4" s="221"/>
      <c r="L4" s="221"/>
      <c r="M4" s="221"/>
      <c r="N4" s="221"/>
      <c r="O4" s="221"/>
      <c r="P4" s="221"/>
      <c r="Q4" s="221"/>
      <c r="R4" s="221"/>
      <c r="S4" s="221"/>
      <c r="T4" s="221"/>
      <c r="U4" s="221"/>
      <c r="V4" s="221"/>
    </row>
    <row r="5" spans="1:22" ht="11.25" customHeight="1" x14ac:dyDescent="0.25">
      <c r="A5" s="223"/>
      <c r="B5" s="224"/>
      <c r="C5" s="224"/>
      <c r="D5" s="224"/>
      <c r="E5" s="224"/>
      <c r="F5" s="224"/>
      <c r="G5" s="224"/>
      <c r="H5" s="224"/>
      <c r="I5" s="224"/>
      <c r="J5" s="224"/>
      <c r="K5" s="224"/>
      <c r="L5" s="224"/>
      <c r="M5" s="224"/>
      <c r="N5" s="224"/>
      <c r="O5" s="224"/>
      <c r="P5" s="224"/>
      <c r="Q5" s="224"/>
      <c r="R5" s="224"/>
      <c r="S5" s="224"/>
      <c r="T5" s="224"/>
      <c r="U5" s="224"/>
      <c r="V5" s="224"/>
    </row>
    <row r="6" spans="1:22" ht="11.25" customHeight="1" x14ac:dyDescent="0.25">
      <c r="A6" s="157"/>
      <c r="B6" s="157"/>
      <c r="C6" s="226" t="s">
        <v>1</v>
      </c>
      <c r="D6" s="229"/>
      <c r="E6" s="229"/>
      <c r="F6" s="229"/>
      <c r="G6" s="229"/>
      <c r="H6" s="229"/>
      <c r="I6" s="229"/>
      <c r="J6" s="229"/>
      <c r="K6" s="229"/>
      <c r="L6" s="229"/>
      <c r="M6" s="229"/>
      <c r="N6" s="229"/>
      <c r="O6" s="229"/>
      <c r="P6" s="229"/>
      <c r="Q6" s="229"/>
      <c r="R6" s="229"/>
      <c r="S6" s="229"/>
      <c r="T6" s="229"/>
      <c r="U6" s="229"/>
      <c r="V6" s="229"/>
    </row>
    <row r="7" spans="1:22" ht="11.25" customHeight="1" x14ac:dyDescent="0.25">
      <c r="A7" s="157"/>
      <c r="B7" s="157"/>
      <c r="C7" s="157"/>
      <c r="D7" s="157"/>
      <c r="E7" s="154"/>
      <c r="F7" s="154"/>
      <c r="G7" s="154"/>
      <c r="H7" s="157"/>
      <c r="I7" s="26" t="s">
        <v>132</v>
      </c>
      <c r="J7" s="157"/>
      <c r="K7" s="230" t="s">
        <v>2</v>
      </c>
      <c r="L7" s="231"/>
      <c r="M7" s="231"/>
      <c r="N7" s="155"/>
      <c r="O7" s="155" t="s">
        <v>3</v>
      </c>
      <c r="P7" s="157"/>
      <c r="Q7" s="226" t="s">
        <v>9</v>
      </c>
      <c r="R7" s="229"/>
      <c r="S7" s="229"/>
      <c r="T7" s="157"/>
      <c r="U7" s="159" t="s">
        <v>4</v>
      </c>
      <c r="V7" s="3"/>
    </row>
    <row r="8" spans="1:22" ht="11.25" customHeight="1" x14ac:dyDescent="0.25">
      <c r="A8" s="157"/>
      <c r="B8" s="157"/>
      <c r="C8" s="226" t="s">
        <v>5</v>
      </c>
      <c r="D8" s="229"/>
      <c r="E8" s="229"/>
      <c r="F8" s="229"/>
      <c r="G8" s="229"/>
      <c r="H8" s="157"/>
      <c r="I8" s="26" t="s">
        <v>6</v>
      </c>
      <c r="J8" s="157"/>
      <c r="K8" s="155" t="s">
        <v>151</v>
      </c>
      <c r="L8" s="155"/>
      <c r="M8" s="155" t="s">
        <v>7</v>
      </c>
      <c r="N8" s="155"/>
      <c r="O8" s="157" t="s">
        <v>8</v>
      </c>
      <c r="P8" s="157"/>
      <c r="Q8" s="155" t="s">
        <v>12</v>
      </c>
      <c r="R8" s="140"/>
      <c r="S8" s="140"/>
      <c r="T8" s="157"/>
      <c r="U8" s="2" t="s">
        <v>148</v>
      </c>
      <c r="V8" s="157"/>
    </row>
    <row r="9" spans="1:22" ht="11.25" customHeight="1" x14ac:dyDescent="0.25">
      <c r="A9" s="157"/>
      <c r="B9" s="157"/>
      <c r="C9" s="157"/>
      <c r="D9" s="157"/>
      <c r="E9" s="157"/>
      <c r="F9" s="157"/>
      <c r="G9" s="139" t="s">
        <v>7</v>
      </c>
      <c r="H9" s="157"/>
      <c r="I9" s="26" t="s">
        <v>165</v>
      </c>
      <c r="J9" s="157"/>
      <c r="K9" s="155" t="s">
        <v>10</v>
      </c>
      <c r="L9" s="155"/>
      <c r="M9" s="155" t="s">
        <v>11</v>
      </c>
      <c r="N9" s="155"/>
      <c r="O9" s="154" t="s">
        <v>166</v>
      </c>
      <c r="P9" s="157"/>
      <c r="Q9" s="157" t="s">
        <v>8</v>
      </c>
      <c r="R9" s="2"/>
      <c r="S9" s="154" t="s">
        <v>13</v>
      </c>
      <c r="T9" s="157"/>
      <c r="U9" s="154" t="s">
        <v>14</v>
      </c>
      <c r="V9" s="157"/>
    </row>
    <row r="10" spans="1:22" ht="11.25" customHeight="1" x14ac:dyDescent="0.25">
      <c r="A10" s="159" t="s">
        <v>15</v>
      </c>
      <c r="B10" s="159"/>
      <c r="C10" s="156" t="s">
        <v>16</v>
      </c>
      <c r="D10" s="158"/>
      <c r="E10" s="159" t="s">
        <v>17</v>
      </c>
      <c r="F10" s="21"/>
      <c r="G10" s="159" t="s">
        <v>18</v>
      </c>
      <c r="H10" s="158"/>
      <c r="I10" s="156" t="s">
        <v>19</v>
      </c>
      <c r="J10" s="158"/>
      <c r="K10" s="159" t="s">
        <v>20</v>
      </c>
      <c r="L10" s="155"/>
      <c r="M10" s="156" t="s">
        <v>18</v>
      </c>
      <c r="N10" s="21"/>
      <c r="O10" s="159" t="s">
        <v>21</v>
      </c>
      <c r="P10" s="158"/>
      <c r="Q10" s="159" t="s">
        <v>167</v>
      </c>
      <c r="R10" s="21"/>
      <c r="S10" s="159" t="s">
        <v>22</v>
      </c>
      <c r="T10" s="158"/>
      <c r="U10" s="159" t="s">
        <v>19</v>
      </c>
      <c r="V10" s="158"/>
    </row>
    <row r="11" spans="1:22" ht="11.25" customHeight="1" x14ac:dyDescent="0.25">
      <c r="A11" s="10" t="s">
        <v>23</v>
      </c>
      <c r="B11" s="165"/>
      <c r="C11" s="25" t="s">
        <v>24</v>
      </c>
      <c r="D11" s="157"/>
      <c r="E11" s="25" t="s">
        <v>24</v>
      </c>
      <c r="F11" s="8"/>
      <c r="G11" s="27">
        <v>419</v>
      </c>
      <c r="H11" s="6"/>
      <c r="I11" s="25" t="s">
        <v>24</v>
      </c>
      <c r="J11" s="6"/>
      <c r="K11" s="27">
        <v>17</v>
      </c>
      <c r="L11" s="8"/>
      <c r="M11" s="28" t="s">
        <v>24</v>
      </c>
      <c r="N11" s="8"/>
      <c r="O11" s="29">
        <v>58375</v>
      </c>
      <c r="P11" s="30"/>
      <c r="Q11" s="27">
        <v>15</v>
      </c>
      <c r="R11" s="31" t="s">
        <v>25</v>
      </c>
      <c r="S11" s="29">
        <v>5</v>
      </c>
      <c r="T11" s="6"/>
      <c r="U11" s="29">
        <v>28260</v>
      </c>
      <c r="V11" s="157"/>
    </row>
    <row r="12" spans="1:22" ht="11.25" customHeight="1" x14ac:dyDescent="0.25">
      <c r="A12" s="10" t="s">
        <v>26</v>
      </c>
      <c r="B12" s="165"/>
      <c r="C12" s="25" t="s">
        <v>24</v>
      </c>
      <c r="D12" s="157"/>
      <c r="E12" s="25" t="s">
        <v>24</v>
      </c>
      <c r="F12" s="6"/>
      <c r="G12" s="25" t="s">
        <v>24</v>
      </c>
      <c r="H12" s="6"/>
      <c r="I12" s="25" t="s">
        <v>24</v>
      </c>
      <c r="J12" s="6"/>
      <c r="K12" s="25" t="s">
        <v>24</v>
      </c>
      <c r="L12" s="6"/>
      <c r="M12" s="32" t="s">
        <v>24</v>
      </c>
      <c r="N12" s="6"/>
      <c r="O12" s="32" t="s">
        <v>24</v>
      </c>
      <c r="P12" s="33"/>
      <c r="Q12" s="25" t="s">
        <v>24</v>
      </c>
      <c r="R12" s="34"/>
      <c r="S12" s="32" t="s">
        <v>24</v>
      </c>
      <c r="T12" s="6"/>
      <c r="U12" s="32" t="s">
        <v>24</v>
      </c>
      <c r="V12" s="157"/>
    </row>
    <row r="13" spans="1:22" ht="11.25" customHeight="1" x14ac:dyDescent="0.25">
      <c r="A13" s="10" t="s">
        <v>27</v>
      </c>
      <c r="B13" s="165"/>
      <c r="C13" s="25" t="s">
        <v>24</v>
      </c>
      <c r="D13" s="157"/>
      <c r="E13" s="25" t="s">
        <v>24</v>
      </c>
      <c r="F13" s="8"/>
      <c r="G13" s="25" t="s">
        <v>24</v>
      </c>
      <c r="H13" s="157"/>
      <c r="I13" s="35">
        <v>2501</v>
      </c>
      <c r="J13" s="157"/>
      <c r="K13" s="27">
        <v>4</v>
      </c>
      <c r="L13" s="8"/>
      <c r="M13" s="36">
        <v>3</v>
      </c>
      <c r="N13" s="8"/>
      <c r="O13" s="36">
        <v>29976</v>
      </c>
      <c r="P13" s="37"/>
      <c r="Q13" s="25" t="s">
        <v>24</v>
      </c>
      <c r="R13" s="38"/>
      <c r="S13" s="32" t="s">
        <v>24</v>
      </c>
      <c r="T13" s="157"/>
      <c r="U13" s="36">
        <v>112140</v>
      </c>
      <c r="V13" s="157"/>
    </row>
    <row r="14" spans="1:22" ht="11.25" customHeight="1" x14ac:dyDescent="0.25">
      <c r="A14" s="10" t="s">
        <v>28</v>
      </c>
      <c r="B14" s="165"/>
      <c r="C14" s="39">
        <v>8258</v>
      </c>
      <c r="D14" s="157"/>
      <c r="E14" s="27">
        <v>32007</v>
      </c>
      <c r="F14" s="6"/>
      <c r="G14" s="27">
        <v>659</v>
      </c>
      <c r="H14" s="13"/>
      <c r="I14" s="25" t="s">
        <v>24</v>
      </c>
      <c r="J14" s="13"/>
      <c r="K14" s="27">
        <v>386</v>
      </c>
      <c r="L14" s="6"/>
      <c r="M14" s="40">
        <v>132.19999999999999</v>
      </c>
      <c r="N14" s="6"/>
      <c r="O14" s="36">
        <v>85000</v>
      </c>
      <c r="P14" s="37" t="s">
        <v>25</v>
      </c>
      <c r="Q14" s="27">
        <v>250000</v>
      </c>
      <c r="R14" s="41"/>
      <c r="S14" s="36">
        <v>35407</v>
      </c>
      <c r="T14" s="6"/>
      <c r="U14" s="36">
        <v>7000</v>
      </c>
      <c r="V14" s="37" t="s">
        <v>25</v>
      </c>
    </row>
    <row r="15" spans="1:22" ht="11.25" customHeight="1" x14ac:dyDescent="0.25">
      <c r="A15" s="10" t="s">
        <v>29</v>
      </c>
      <c r="B15" s="165"/>
      <c r="C15" s="27">
        <v>1568</v>
      </c>
      <c r="D15" s="157"/>
      <c r="E15" s="25" t="s">
        <v>24</v>
      </c>
      <c r="F15" s="8"/>
      <c r="G15" s="27">
        <v>2923</v>
      </c>
      <c r="H15" s="157"/>
      <c r="I15" s="39">
        <v>1</v>
      </c>
      <c r="J15" s="157"/>
      <c r="K15" s="27">
        <v>543</v>
      </c>
      <c r="L15" s="157"/>
      <c r="M15" s="40">
        <v>259</v>
      </c>
      <c r="N15" s="157"/>
      <c r="O15" s="36">
        <v>183047</v>
      </c>
      <c r="P15" s="33"/>
      <c r="Q15" s="27">
        <v>31500</v>
      </c>
      <c r="R15" s="31" t="s">
        <v>25</v>
      </c>
      <c r="S15" s="36">
        <v>13443</v>
      </c>
      <c r="T15" s="157"/>
      <c r="U15" s="36">
        <v>18947</v>
      </c>
      <c r="V15" s="33"/>
    </row>
    <row r="16" spans="1:22" ht="11.25" customHeight="1" x14ac:dyDescent="0.25">
      <c r="A16" s="10" t="s">
        <v>30</v>
      </c>
      <c r="B16" s="165"/>
      <c r="C16" s="25" t="s">
        <v>24</v>
      </c>
      <c r="D16" s="157"/>
      <c r="E16" s="25" t="s">
        <v>24</v>
      </c>
      <c r="F16" s="8"/>
      <c r="G16" s="25" t="s">
        <v>24</v>
      </c>
      <c r="H16" s="157"/>
      <c r="I16" s="25" t="s">
        <v>24</v>
      </c>
      <c r="J16" s="157"/>
      <c r="K16" s="39">
        <v>4258</v>
      </c>
      <c r="L16" s="8"/>
      <c r="M16" s="40">
        <v>2461</v>
      </c>
      <c r="N16" s="8"/>
      <c r="O16" s="36">
        <v>37066</v>
      </c>
      <c r="P16" s="33"/>
      <c r="Q16" s="27">
        <v>8493</v>
      </c>
      <c r="R16" s="34"/>
      <c r="S16" s="36">
        <v>1145</v>
      </c>
      <c r="T16" s="6"/>
      <c r="U16" s="36">
        <v>712</v>
      </c>
      <c r="V16" s="42"/>
    </row>
    <row r="17" spans="1:22" ht="11.25" customHeight="1" x14ac:dyDescent="0.25">
      <c r="A17" s="10" t="s">
        <v>31</v>
      </c>
      <c r="B17" s="165"/>
      <c r="C17" s="25" t="s">
        <v>24</v>
      </c>
      <c r="D17" s="157"/>
      <c r="E17" s="25" t="s">
        <v>24</v>
      </c>
      <c r="F17" s="8"/>
      <c r="G17" s="25" t="s">
        <v>24</v>
      </c>
      <c r="H17" s="157"/>
      <c r="I17" s="25" t="s">
        <v>24</v>
      </c>
      <c r="J17" s="157"/>
      <c r="K17" s="27">
        <v>10</v>
      </c>
      <c r="L17" s="6"/>
      <c r="M17" s="32" t="s">
        <v>24</v>
      </c>
      <c r="N17" s="6"/>
      <c r="O17" s="36">
        <v>35560</v>
      </c>
      <c r="P17" s="37"/>
      <c r="Q17" s="27">
        <v>344</v>
      </c>
      <c r="R17" s="38"/>
      <c r="S17" s="36">
        <v>1219</v>
      </c>
      <c r="T17" s="6"/>
      <c r="U17" s="32" t="s">
        <v>24</v>
      </c>
      <c r="V17" s="42"/>
    </row>
    <row r="18" spans="1:22" ht="11.25" customHeight="1" x14ac:dyDescent="0.25">
      <c r="A18" s="10" t="s">
        <v>32</v>
      </c>
      <c r="B18" s="165"/>
      <c r="C18" s="25" t="s">
        <v>24</v>
      </c>
      <c r="D18" s="157"/>
      <c r="E18" s="25" t="s">
        <v>24</v>
      </c>
      <c r="F18" s="8"/>
      <c r="G18" s="25" t="s">
        <v>24</v>
      </c>
      <c r="H18" s="157"/>
      <c r="I18" s="25" t="s">
        <v>24</v>
      </c>
      <c r="J18" s="157"/>
      <c r="K18" s="25" t="s">
        <v>24</v>
      </c>
      <c r="L18" s="8"/>
      <c r="M18" s="32" t="s">
        <v>24</v>
      </c>
      <c r="N18" s="8"/>
      <c r="O18" s="36">
        <v>3699</v>
      </c>
      <c r="P18" s="37"/>
      <c r="Q18" s="25" t="s">
        <v>24</v>
      </c>
      <c r="R18" s="38"/>
      <c r="S18" s="36">
        <v>99</v>
      </c>
      <c r="T18" s="157"/>
      <c r="U18" s="32" t="s">
        <v>24</v>
      </c>
      <c r="V18" s="42"/>
    </row>
    <row r="19" spans="1:22" ht="11.25" customHeight="1" x14ac:dyDescent="0.25">
      <c r="A19" s="10" t="s">
        <v>33</v>
      </c>
      <c r="B19" s="165"/>
      <c r="C19" s="25" t="s">
        <v>24</v>
      </c>
      <c r="D19" s="157"/>
      <c r="E19" s="25" t="s">
        <v>24</v>
      </c>
      <c r="F19" s="8"/>
      <c r="G19" s="25" t="s">
        <v>24</v>
      </c>
      <c r="H19" s="157"/>
      <c r="I19" s="25" t="s">
        <v>24</v>
      </c>
      <c r="J19" s="157"/>
      <c r="K19" s="25" t="s">
        <v>24</v>
      </c>
      <c r="L19" s="6"/>
      <c r="M19" s="32" t="s">
        <v>24</v>
      </c>
      <c r="N19" s="6"/>
      <c r="O19" s="32" t="s">
        <v>24</v>
      </c>
      <c r="P19" s="37"/>
      <c r="Q19" s="25" t="s">
        <v>24</v>
      </c>
      <c r="R19" s="38"/>
      <c r="S19" s="36">
        <v>222</v>
      </c>
      <c r="T19" s="6"/>
      <c r="U19" s="32" t="s">
        <v>24</v>
      </c>
      <c r="V19" s="42"/>
    </row>
    <row r="20" spans="1:22" ht="11.25" customHeight="1" x14ac:dyDescent="0.25">
      <c r="A20" s="10" t="s">
        <v>34</v>
      </c>
      <c r="B20" s="165"/>
      <c r="C20" s="25" t="s">
        <v>24</v>
      </c>
      <c r="D20" s="157"/>
      <c r="E20" s="25" t="s">
        <v>24</v>
      </c>
      <c r="F20" s="8"/>
      <c r="G20" s="25" t="s">
        <v>24</v>
      </c>
      <c r="H20" s="157"/>
      <c r="I20" s="25" t="s">
        <v>24</v>
      </c>
      <c r="J20" s="157"/>
      <c r="K20" s="27">
        <v>9</v>
      </c>
      <c r="L20" s="8"/>
      <c r="M20" s="32" t="s">
        <v>24</v>
      </c>
      <c r="N20" s="8"/>
      <c r="O20" s="36">
        <v>31633</v>
      </c>
      <c r="P20" s="33"/>
      <c r="Q20" s="25" t="s">
        <v>24</v>
      </c>
      <c r="R20" s="38"/>
      <c r="S20" s="36" t="s">
        <v>24</v>
      </c>
      <c r="T20" s="6"/>
      <c r="U20" s="32" t="s">
        <v>24</v>
      </c>
      <c r="V20" s="42"/>
    </row>
    <row r="21" spans="1:22" ht="11.25" customHeight="1" x14ac:dyDescent="0.25">
      <c r="A21" s="10" t="s">
        <v>35</v>
      </c>
      <c r="B21" s="165"/>
      <c r="C21" s="25" t="s">
        <v>24</v>
      </c>
      <c r="D21" s="157"/>
      <c r="E21" s="25" t="s">
        <v>24</v>
      </c>
      <c r="F21" s="8"/>
      <c r="G21" s="25" t="s">
        <v>24</v>
      </c>
      <c r="H21" s="157"/>
      <c r="I21" s="27">
        <v>50</v>
      </c>
      <c r="J21" s="4" t="s">
        <v>25</v>
      </c>
      <c r="K21" s="27">
        <v>42</v>
      </c>
      <c r="L21" s="4" t="s">
        <v>25</v>
      </c>
      <c r="M21" s="32" t="s">
        <v>24</v>
      </c>
      <c r="N21" s="4"/>
      <c r="O21" s="36">
        <v>8213</v>
      </c>
      <c r="P21" s="37"/>
      <c r="Q21" s="25" t="s">
        <v>24</v>
      </c>
      <c r="R21" s="38"/>
      <c r="S21" s="36">
        <v>583</v>
      </c>
      <c r="T21" s="6"/>
      <c r="U21" s="32" t="s">
        <v>24</v>
      </c>
      <c r="V21" s="42"/>
    </row>
    <row r="22" spans="1:22" ht="11.25" customHeight="1" x14ac:dyDescent="0.25">
      <c r="A22" s="10" t="s">
        <v>36</v>
      </c>
      <c r="B22" s="165"/>
      <c r="C22" s="25" t="s">
        <v>24</v>
      </c>
      <c r="D22" s="157"/>
      <c r="E22" s="25" t="s">
        <v>24</v>
      </c>
      <c r="F22" s="8"/>
      <c r="G22" s="25" t="s">
        <v>24</v>
      </c>
      <c r="H22" s="157"/>
      <c r="I22" s="25" t="s">
        <v>24</v>
      </c>
      <c r="J22" s="157"/>
      <c r="K22" s="25" t="s">
        <v>24</v>
      </c>
      <c r="L22" s="8"/>
      <c r="M22" s="32" t="s">
        <v>24</v>
      </c>
      <c r="N22" s="8"/>
      <c r="O22" s="32" t="s">
        <v>24</v>
      </c>
      <c r="P22" s="33"/>
      <c r="Q22" s="25" t="s">
        <v>24</v>
      </c>
      <c r="R22" s="38"/>
      <c r="S22" s="36">
        <v>99</v>
      </c>
      <c r="T22" s="6"/>
      <c r="U22" s="32" t="s">
        <v>24</v>
      </c>
      <c r="V22" s="42"/>
    </row>
    <row r="23" spans="1:22" ht="11.25" customHeight="1" x14ac:dyDescent="0.25">
      <c r="A23" s="10" t="s">
        <v>37</v>
      </c>
      <c r="B23" s="165"/>
      <c r="C23" s="25" t="s">
        <v>24</v>
      </c>
      <c r="D23" s="157"/>
      <c r="E23" s="25" t="s">
        <v>24</v>
      </c>
      <c r="F23" s="8"/>
      <c r="G23" s="25" t="s">
        <v>24</v>
      </c>
      <c r="H23" s="157"/>
      <c r="I23" s="25" t="s">
        <v>24</v>
      </c>
      <c r="J23" s="157"/>
      <c r="K23" s="25" t="s">
        <v>24</v>
      </c>
      <c r="L23" s="8"/>
      <c r="M23" s="32" t="s">
        <v>24</v>
      </c>
      <c r="N23" s="8"/>
      <c r="O23" s="36">
        <v>1300</v>
      </c>
      <c r="P23" s="37" t="s">
        <v>25</v>
      </c>
      <c r="Q23" s="25" t="s">
        <v>24</v>
      </c>
      <c r="R23" s="38"/>
      <c r="S23" s="36" t="s">
        <v>24</v>
      </c>
      <c r="T23" s="157"/>
      <c r="U23" s="32" t="s">
        <v>24</v>
      </c>
      <c r="V23" s="42"/>
    </row>
    <row r="24" spans="1:22" ht="11.25" customHeight="1" x14ac:dyDescent="0.25">
      <c r="A24" s="10" t="s">
        <v>38</v>
      </c>
      <c r="B24" s="165"/>
      <c r="C24" s="25" t="s">
        <v>24</v>
      </c>
      <c r="D24" s="157"/>
      <c r="E24" s="25" t="s">
        <v>24</v>
      </c>
      <c r="F24" s="8"/>
      <c r="G24" s="25" t="s">
        <v>24</v>
      </c>
      <c r="H24" s="157"/>
      <c r="I24" s="39">
        <v>25</v>
      </c>
      <c r="J24" s="18" t="s">
        <v>25</v>
      </c>
      <c r="K24" s="25" t="s">
        <v>24</v>
      </c>
      <c r="L24" s="8"/>
      <c r="M24" s="32" t="s">
        <v>24</v>
      </c>
      <c r="N24" s="8"/>
      <c r="O24" s="36">
        <v>200</v>
      </c>
      <c r="P24" s="37" t="s">
        <v>25</v>
      </c>
      <c r="Q24" s="25" t="s">
        <v>24</v>
      </c>
      <c r="R24" s="34"/>
      <c r="S24" s="36">
        <v>300</v>
      </c>
      <c r="T24" s="6"/>
      <c r="U24" s="36">
        <v>264</v>
      </c>
      <c r="V24" s="37"/>
    </row>
    <row r="25" spans="1:22" ht="11.25" customHeight="1" x14ac:dyDescent="0.25">
      <c r="A25" s="10" t="s">
        <v>39</v>
      </c>
      <c r="B25" s="165"/>
      <c r="C25" s="25" t="s">
        <v>24</v>
      </c>
      <c r="D25" s="157"/>
      <c r="E25" s="27">
        <v>1924</v>
      </c>
      <c r="F25" s="4"/>
      <c r="G25" s="25" t="s">
        <v>24</v>
      </c>
      <c r="H25" s="157"/>
      <c r="I25" s="25" t="s">
        <v>24</v>
      </c>
      <c r="J25" s="157"/>
      <c r="K25" s="25" t="s">
        <v>24</v>
      </c>
      <c r="L25" s="8"/>
      <c r="M25" s="32" t="s">
        <v>24</v>
      </c>
      <c r="N25" s="8"/>
      <c r="O25" s="36">
        <v>19069</v>
      </c>
      <c r="P25" s="33"/>
      <c r="Q25" s="25" t="s">
        <v>24</v>
      </c>
      <c r="R25" s="38"/>
      <c r="S25" s="32" t="s">
        <v>24</v>
      </c>
      <c r="T25" s="157"/>
      <c r="U25" s="32" t="s">
        <v>24</v>
      </c>
      <c r="V25" s="42"/>
    </row>
    <row r="26" spans="1:22" ht="11.25" customHeight="1" x14ac:dyDescent="0.25">
      <c r="A26" s="10" t="s">
        <v>40</v>
      </c>
      <c r="B26" s="165"/>
      <c r="C26" s="25" t="s">
        <v>24</v>
      </c>
      <c r="D26" s="157"/>
      <c r="E26" s="25" t="s">
        <v>24</v>
      </c>
      <c r="F26" s="8"/>
      <c r="G26" s="25" t="s">
        <v>24</v>
      </c>
      <c r="H26" s="157"/>
      <c r="I26" s="27">
        <v>12</v>
      </c>
      <c r="J26" s="157"/>
      <c r="K26" s="25" t="s">
        <v>24</v>
      </c>
      <c r="L26" s="8"/>
      <c r="M26" s="32" t="s">
        <v>24</v>
      </c>
      <c r="N26" s="8"/>
      <c r="O26" s="36">
        <v>2064</v>
      </c>
      <c r="P26" s="37"/>
      <c r="Q26" s="25" t="s">
        <v>24</v>
      </c>
      <c r="R26" s="38"/>
      <c r="S26" s="32" t="s">
        <v>24</v>
      </c>
      <c r="T26" s="157"/>
      <c r="U26" s="36">
        <v>9893</v>
      </c>
      <c r="V26" s="37"/>
    </row>
    <row r="27" spans="1:22" ht="11.25" customHeight="1" x14ac:dyDescent="0.25">
      <c r="A27" s="10" t="s">
        <v>41</v>
      </c>
      <c r="B27" s="165"/>
      <c r="C27" s="39">
        <v>2484</v>
      </c>
      <c r="D27" s="157"/>
      <c r="E27" s="27">
        <v>10058</v>
      </c>
      <c r="F27" s="8"/>
      <c r="G27" s="25" t="s">
        <v>24</v>
      </c>
      <c r="H27" s="157"/>
      <c r="I27" s="25" t="s">
        <v>24</v>
      </c>
      <c r="J27" s="157"/>
      <c r="K27" s="25" t="s">
        <v>24</v>
      </c>
      <c r="L27" s="8"/>
      <c r="M27" s="32" t="s">
        <v>24</v>
      </c>
      <c r="N27" s="8"/>
      <c r="O27" s="32" t="s">
        <v>24</v>
      </c>
      <c r="P27" s="33"/>
      <c r="Q27" s="25" t="s">
        <v>24</v>
      </c>
      <c r="R27" s="38"/>
      <c r="S27" s="32" t="s">
        <v>24</v>
      </c>
      <c r="T27" s="157"/>
      <c r="U27" s="32" t="s">
        <v>24</v>
      </c>
      <c r="V27" s="42"/>
    </row>
    <row r="28" spans="1:22" ht="11.25" customHeight="1" x14ac:dyDescent="0.25">
      <c r="A28" s="10" t="s">
        <v>42</v>
      </c>
      <c r="B28" s="165"/>
      <c r="C28" s="25" t="s">
        <v>24</v>
      </c>
      <c r="D28" s="157"/>
      <c r="E28" s="25" t="s">
        <v>24</v>
      </c>
      <c r="F28" s="8"/>
      <c r="G28" s="25" t="s">
        <v>24</v>
      </c>
      <c r="H28" s="157"/>
      <c r="I28" s="35">
        <v>260</v>
      </c>
      <c r="J28" s="4" t="s">
        <v>25</v>
      </c>
      <c r="K28" s="27">
        <v>751</v>
      </c>
      <c r="L28" s="4"/>
      <c r="M28" s="40">
        <v>432</v>
      </c>
      <c r="N28" s="4"/>
      <c r="O28" s="36">
        <v>117323</v>
      </c>
      <c r="P28" s="33"/>
      <c r="Q28" s="27">
        <v>14021</v>
      </c>
      <c r="R28" s="38"/>
      <c r="S28" s="36">
        <v>20110</v>
      </c>
      <c r="T28" s="12"/>
      <c r="U28" s="36">
        <v>240000</v>
      </c>
      <c r="V28" s="33" t="s">
        <v>25</v>
      </c>
    </row>
    <row r="29" spans="1:22" ht="11.25" customHeight="1" x14ac:dyDescent="0.25">
      <c r="A29" s="10" t="s">
        <v>43</v>
      </c>
      <c r="B29" s="165"/>
      <c r="C29" s="25" t="s">
        <v>24</v>
      </c>
      <c r="D29" s="157"/>
      <c r="E29" s="25" t="s">
        <v>24</v>
      </c>
      <c r="F29" s="8"/>
      <c r="G29" s="25" t="s">
        <v>24</v>
      </c>
      <c r="H29" s="157"/>
      <c r="I29" s="25" t="s">
        <v>24</v>
      </c>
      <c r="J29" s="157"/>
      <c r="K29" s="25" t="s">
        <v>24</v>
      </c>
      <c r="L29" s="8"/>
      <c r="M29" s="32" t="s">
        <v>24</v>
      </c>
      <c r="N29" s="8"/>
      <c r="O29" s="36">
        <v>7703</v>
      </c>
      <c r="P29" s="37"/>
      <c r="Q29" s="25" t="s">
        <v>24</v>
      </c>
      <c r="R29" s="38"/>
      <c r="S29" s="32" t="s">
        <v>24</v>
      </c>
      <c r="T29" s="157"/>
      <c r="U29" s="32" t="s">
        <v>24</v>
      </c>
      <c r="V29" s="157"/>
    </row>
    <row r="30" spans="1:22" ht="11.25" customHeight="1" x14ac:dyDescent="0.25">
      <c r="A30" s="10" t="s">
        <v>44</v>
      </c>
      <c r="B30" s="165"/>
      <c r="C30" s="25" t="s">
        <v>24</v>
      </c>
      <c r="D30" s="157"/>
      <c r="E30" s="25" t="s">
        <v>24</v>
      </c>
      <c r="F30" s="8"/>
      <c r="G30" s="25" t="s">
        <v>24</v>
      </c>
      <c r="H30" s="157"/>
      <c r="I30" s="25" t="s">
        <v>24</v>
      </c>
      <c r="J30" s="157"/>
      <c r="K30" s="25" t="s">
        <v>24</v>
      </c>
      <c r="L30" s="8"/>
      <c r="M30" s="32" t="s">
        <v>24</v>
      </c>
      <c r="N30" s="8"/>
      <c r="O30" s="36">
        <v>400</v>
      </c>
      <c r="P30" s="37" t="s">
        <v>25</v>
      </c>
      <c r="Q30" s="25" t="s">
        <v>24</v>
      </c>
      <c r="R30" s="38"/>
      <c r="S30" s="32" t="s">
        <v>24</v>
      </c>
      <c r="T30" s="157"/>
      <c r="U30" s="32" t="s">
        <v>24</v>
      </c>
      <c r="V30" s="157"/>
    </row>
    <row r="31" spans="1:22" ht="11.25" customHeight="1" x14ac:dyDescent="0.25">
      <c r="A31" s="10" t="s">
        <v>45</v>
      </c>
      <c r="B31" s="165"/>
      <c r="C31" s="25" t="s">
        <v>24</v>
      </c>
      <c r="D31" s="157"/>
      <c r="E31" s="25" t="s">
        <v>24</v>
      </c>
      <c r="F31" s="8"/>
      <c r="G31" s="25" t="s">
        <v>24</v>
      </c>
      <c r="H31" s="157"/>
      <c r="I31" s="25" t="s">
        <v>24</v>
      </c>
      <c r="J31" s="157"/>
      <c r="K31" s="25" t="s">
        <v>24</v>
      </c>
      <c r="L31" s="8"/>
      <c r="M31" s="32" t="s">
        <v>24</v>
      </c>
      <c r="N31" s="8"/>
      <c r="O31" s="32" t="s">
        <v>24</v>
      </c>
      <c r="P31" s="33"/>
      <c r="Q31" s="25" t="s">
        <v>24</v>
      </c>
      <c r="R31" s="38"/>
      <c r="S31" s="36">
        <v>25</v>
      </c>
      <c r="T31" s="6"/>
      <c r="U31" s="32" t="s">
        <v>24</v>
      </c>
      <c r="V31" s="157"/>
    </row>
    <row r="32" spans="1:22" ht="11.25" customHeight="1" x14ac:dyDescent="0.25">
      <c r="A32" s="10" t="s">
        <v>46</v>
      </c>
      <c r="B32" s="165"/>
      <c r="C32" s="25" t="s">
        <v>24</v>
      </c>
      <c r="D32" s="157"/>
      <c r="E32" s="25" t="s">
        <v>24</v>
      </c>
      <c r="F32" s="8"/>
      <c r="G32" s="25" t="s">
        <v>24</v>
      </c>
      <c r="H32" s="157"/>
      <c r="I32" s="25" t="s">
        <v>24</v>
      </c>
      <c r="J32" s="157"/>
      <c r="K32" s="27">
        <v>2371</v>
      </c>
      <c r="L32" s="8"/>
      <c r="M32" s="40">
        <v>337</v>
      </c>
      <c r="N32" s="8"/>
      <c r="O32" s="36">
        <v>142642</v>
      </c>
      <c r="P32" s="33"/>
      <c r="Q32" s="27">
        <v>9534</v>
      </c>
      <c r="R32" s="38"/>
      <c r="S32" s="36">
        <v>1217</v>
      </c>
      <c r="T32" s="6"/>
      <c r="U32" s="36">
        <v>289195</v>
      </c>
      <c r="V32" s="157"/>
    </row>
    <row r="33" spans="1:22" ht="11.25" customHeight="1" x14ac:dyDescent="0.25">
      <c r="A33" s="10" t="s">
        <v>47</v>
      </c>
      <c r="B33" s="165"/>
      <c r="C33" s="25" t="s">
        <v>24</v>
      </c>
      <c r="D33" s="157"/>
      <c r="E33" s="25" t="s">
        <v>24</v>
      </c>
      <c r="F33" s="6"/>
      <c r="G33" s="25" t="s">
        <v>24</v>
      </c>
      <c r="H33" s="157"/>
      <c r="I33" s="25" t="s">
        <v>24</v>
      </c>
      <c r="J33" s="157"/>
      <c r="K33" s="25" t="s">
        <v>24</v>
      </c>
      <c r="L33" s="8"/>
      <c r="M33" s="32" t="s">
        <v>24</v>
      </c>
      <c r="N33" s="8"/>
      <c r="O33" s="36">
        <v>25536</v>
      </c>
      <c r="P33" s="37"/>
      <c r="Q33" s="25" t="s">
        <v>24</v>
      </c>
      <c r="R33" s="38"/>
      <c r="S33" s="32" t="s">
        <v>24</v>
      </c>
      <c r="T33" s="157"/>
      <c r="U33" s="32" t="s">
        <v>24</v>
      </c>
      <c r="V33" s="157"/>
    </row>
    <row r="34" spans="1:22" ht="11.25" customHeight="1" x14ac:dyDescent="0.25">
      <c r="A34" s="10" t="s">
        <v>48</v>
      </c>
      <c r="B34" s="165"/>
      <c r="C34" s="25" t="s">
        <v>24</v>
      </c>
      <c r="D34" s="157"/>
      <c r="E34" s="25" t="s">
        <v>24</v>
      </c>
      <c r="F34" s="8"/>
      <c r="G34" s="25" t="s">
        <v>24</v>
      </c>
      <c r="H34" s="157"/>
      <c r="I34" s="25" t="s">
        <v>24</v>
      </c>
      <c r="J34" s="157"/>
      <c r="K34" s="25" t="s">
        <v>24</v>
      </c>
      <c r="L34" s="8"/>
      <c r="M34" s="32" t="s">
        <v>24</v>
      </c>
      <c r="N34" s="8"/>
      <c r="O34" s="32" t="s">
        <v>24</v>
      </c>
      <c r="P34" s="33"/>
      <c r="Q34" s="25" t="s">
        <v>24</v>
      </c>
      <c r="R34" s="38"/>
      <c r="S34" s="32" t="s">
        <v>24</v>
      </c>
      <c r="T34" s="6"/>
      <c r="U34" s="32" t="s">
        <v>24</v>
      </c>
      <c r="V34" s="157"/>
    </row>
    <row r="35" spans="1:22" ht="11.25" customHeight="1" x14ac:dyDescent="0.25">
      <c r="A35" s="10" t="s">
        <v>49</v>
      </c>
      <c r="B35" s="165"/>
      <c r="C35" s="25" t="s">
        <v>24</v>
      </c>
      <c r="D35" s="157"/>
      <c r="E35" s="25" t="s">
        <v>24</v>
      </c>
      <c r="F35" s="8"/>
      <c r="G35" s="25" t="s">
        <v>24</v>
      </c>
      <c r="H35" s="157"/>
      <c r="I35" s="25" t="s">
        <v>24</v>
      </c>
      <c r="J35" s="157"/>
      <c r="K35" s="25" t="s">
        <v>24</v>
      </c>
      <c r="L35" s="8"/>
      <c r="M35" s="32" t="s">
        <v>24</v>
      </c>
      <c r="N35" s="8"/>
      <c r="O35" s="36">
        <v>860</v>
      </c>
      <c r="P35" s="37"/>
      <c r="Q35" s="27">
        <v>1</v>
      </c>
      <c r="R35" s="34"/>
      <c r="S35" s="36">
        <v>60</v>
      </c>
      <c r="T35" s="6"/>
      <c r="U35" s="32" t="s">
        <v>24</v>
      </c>
      <c r="V35" s="157"/>
    </row>
    <row r="36" spans="1:22" ht="11.25" customHeight="1" x14ac:dyDescent="0.25">
      <c r="A36" s="10" t="s">
        <v>50</v>
      </c>
      <c r="B36" s="165"/>
      <c r="C36" s="43" t="s">
        <v>24</v>
      </c>
      <c r="D36" s="158"/>
      <c r="E36" s="43" t="s">
        <v>24</v>
      </c>
      <c r="F36" s="5"/>
      <c r="G36" s="44">
        <v>86</v>
      </c>
      <c r="H36" s="5" t="s">
        <v>25</v>
      </c>
      <c r="I36" s="32" t="s">
        <v>24</v>
      </c>
      <c r="J36" s="15"/>
      <c r="K36" s="32" t="s">
        <v>24</v>
      </c>
      <c r="L36" s="17"/>
      <c r="M36" s="32" t="s">
        <v>24</v>
      </c>
      <c r="N36" s="14"/>
      <c r="O36" s="44">
        <v>480</v>
      </c>
      <c r="P36" s="45" t="s">
        <v>25</v>
      </c>
      <c r="Q36" s="44">
        <v>1550</v>
      </c>
      <c r="R36" s="45"/>
      <c r="S36" s="44">
        <v>129</v>
      </c>
      <c r="T36" s="5"/>
      <c r="U36" s="43" t="s">
        <v>24</v>
      </c>
      <c r="V36" s="158"/>
    </row>
    <row r="37" spans="1:22" ht="11.25" customHeight="1" x14ac:dyDescent="0.25">
      <c r="A37" s="24" t="s">
        <v>51</v>
      </c>
      <c r="B37" s="161"/>
      <c r="C37" s="39">
        <v>12310</v>
      </c>
      <c r="D37" s="157"/>
      <c r="E37" s="1">
        <v>43989</v>
      </c>
      <c r="F37" s="15"/>
      <c r="G37" s="1">
        <v>4100</v>
      </c>
      <c r="H37" s="15" t="s">
        <v>25</v>
      </c>
      <c r="I37" s="134">
        <v>2850</v>
      </c>
      <c r="J37" s="135" t="s">
        <v>25</v>
      </c>
      <c r="K37" s="134">
        <v>8400</v>
      </c>
      <c r="L37" s="135" t="s">
        <v>25</v>
      </c>
      <c r="M37" s="134">
        <f>SUM(M11:M36)</f>
        <v>3624.2</v>
      </c>
      <c r="N37" s="8"/>
      <c r="O37" s="1">
        <v>790000</v>
      </c>
      <c r="P37" s="15" t="s">
        <v>25</v>
      </c>
      <c r="Q37" s="1">
        <v>315000</v>
      </c>
      <c r="R37" s="15" t="s">
        <v>25</v>
      </c>
      <c r="S37" s="1">
        <v>74063</v>
      </c>
      <c r="T37" s="157"/>
      <c r="U37" s="1">
        <v>706000</v>
      </c>
      <c r="V37" s="15" t="s">
        <v>25</v>
      </c>
    </row>
    <row r="38" spans="1:22" ht="11.25" customHeight="1" x14ac:dyDescent="0.25">
      <c r="A38" s="24" t="s">
        <v>52</v>
      </c>
      <c r="B38" s="161"/>
      <c r="C38" s="19">
        <f>C37/C41</f>
        <v>9.3969465648854958E-2</v>
      </c>
      <c r="D38" s="157"/>
      <c r="E38" s="19">
        <f>E37/E41</f>
        <v>0.12976106194690265</v>
      </c>
      <c r="F38" s="157"/>
      <c r="G38" s="19">
        <f>G37/G41</f>
        <v>6.4465408805031446E-2</v>
      </c>
      <c r="H38" s="157"/>
      <c r="I38" s="19">
        <f>I37/I41</f>
        <v>1.9520547945205479E-2</v>
      </c>
      <c r="J38" s="157"/>
      <c r="K38" s="19">
        <f>K37/K41</f>
        <v>0.44210526315789472</v>
      </c>
      <c r="L38" s="157"/>
      <c r="M38" s="19">
        <f>M37/M41</f>
        <v>0.18120999999999998</v>
      </c>
      <c r="N38" s="157"/>
      <c r="O38" s="19">
        <f>O37/O41</f>
        <v>0.24012158054711247</v>
      </c>
      <c r="P38" s="157"/>
      <c r="Q38" s="19">
        <f>Q37/Q41</f>
        <v>0.21283783783783783</v>
      </c>
      <c r="R38" s="157"/>
      <c r="S38" s="19">
        <f>S37/S41</f>
        <v>4.0918784530386741E-2</v>
      </c>
      <c r="T38" s="157"/>
      <c r="U38" s="19">
        <f>U37/U41</f>
        <v>0.15215517241379312</v>
      </c>
      <c r="V38" s="157"/>
    </row>
    <row r="39" spans="1:22" ht="11.25" customHeight="1" x14ac:dyDescent="0.25">
      <c r="A39" s="10" t="s">
        <v>53</v>
      </c>
      <c r="B39" s="165"/>
      <c r="C39" s="1">
        <v>1570</v>
      </c>
      <c r="D39" s="157"/>
      <c r="E39" s="46" t="s">
        <v>54</v>
      </c>
      <c r="F39" s="8"/>
      <c r="G39" s="1">
        <v>891</v>
      </c>
      <c r="H39" s="157"/>
      <c r="I39" s="25" t="s">
        <v>24</v>
      </c>
      <c r="J39" s="157"/>
      <c r="K39" s="1">
        <v>1220</v>
      </c>
      <c r="L39" s="8"/>
      <c r="M39" s="1">
        <v>1070</v>
      </c>
      <c r="N39" s="8"/>
      <c r="O39" s="1">
        <v>226000</v>
      </c>
      <c r="P39" s="157"/>
      <c r="Q39" s="1">
        <v>31300</v>
      </c>
      <c r="R39" s="8"/>
      <c r="S39" s="1">
        <v>86600</v>
      </c>
      <c r="T39" s="157"/>
      <c r="U39" s="1">
        <v>280000</v>
      </c>
      <c r="V39" s="19"/>
    </row>
    <row r="40" spans="1:22" ht="11.25" customHeight="1" x14ac:dyDescent="0.25">
      <c r="A40" s="24" t="s">
        <v>52</v>
      </c>
      <c r="B40" s="165"/>
      <c r="C40" s="9">
        <f>C39/C41</f>
        <v>1.1984732824427481E-2</v>
      </c>
      <c r="D40" s="157"/>
      <c r="E40" s="46" t="s">
        <v>54</v>
      </c>
      <c r="F40" s="157"/>
      <c r="G40" s="9">
        <f>G39/G41</f>
        <v>1.400943396226415E-2</v>
      </c>
      <c r="H40" s="157"/>
      <c r="I40" s="25" t="s">
        <v>24</v>
      </c>
      <c r="J40" s="157"/>
      <c r="K40" s="9">
        <f>K39/K41</f>
        <v>6.4210526315789468E-2</v>
      </c>
      <c r="L40" s="157"/>
      <c r="M40" s="9">
        <f>M39/M41</f>
        <v>5.3499999999999999E-2</v>
      </c>
      <c r="N40" s="157"/>
      <c r="O40" s="9">
        <f>O39/O41</f>
        <v>6.8693009118541037E-2</v>
      </c>
      <c r="P40" s="157"/>
      <c r="Q40" s="9">
        <f>Q39/Q41</f>
        <v>2.1148648648648648E-2</v>
      </c>
      <c r="R40" s="157"/>
      <c r="S40" s="9">
        <f>S39/S41</f>
        <v>4.7845303867403315E-2</v>
      </c>
      <c r="T40" s="157"/>
      <c r="U40" s="9">
        <f>U39/U41</f>
        <v>6.0344827586206899E-2</v>
      </c>
      <c r="V40" s="165"/>
    </row>
    <row r="41" spans="1:22" ht="11.25" customHeight="1" x14ac:dyDescent="0.25">
      <c r="A41" s="24" t="s">
        <v>55</v>
      </c>
      <c r="B41" s="11"/>
      <c r="C41" s="59">
        <v>131000</v>
      </c>
      <c r="D41" s="158"/>
      <c r="E41" s="138">
        <v>339000</v>
      </c>
      <c r="F41" s="14"/>
      <c r="G41" s="59">
        <v>63600</v>
      </c>
      <c r="H41" s="158"/>
      <c r="I41" s="59">
        <v>146000</v>
      </c>
      <c r="J41" s="158"/>
      <c r="K41" s="59">
        <v>19000</v>
      </c>
      <c r="L41" s="14"/>
      <c r="M41" s="59">
        <v>20000</v>
      </c>
      <c r="N41" s="14"/>
      <c r="O41" s="59">
        <v>3290000</v>
      </c>
      <c r="P41" s="158"/>
      <c r="Q41" s="59">
        <v>1480000</v>
      </c>
      <c r="R41" s="14"/>
      <c r="S41" s="59">
        <v>1810000</v>
      </c>
      <c r="T41" s="158"/>
      <c r="U41" s="59">
        <v>4640000</v>
      </c>
      <c r="V41" s="158"/>
    </row>
    <row r="42" spans="1:22" ht="11.25" customHeight="1" x14ac:dyDescent="0.25">
      <c r="A42" s="232" t="s">
        <v>56</v>
      </c>
      <c r="B42" s="233"/>
      <c r="C42" s="233"/>
      <c r="D42" s="233"/>
      <c r="E42" s="233"/>
      <c r="F42" s="233"/>
      <c r="G42" s="233"/>
      <c r="H42" s="233"/>
      <c r="I42" s="234"/>
      <c r="J42" s="234"/>
      <c r="K42" s="233"/>
      <c r="L42" s="233"/>
      <c r="M42" s="233"/>
      <c r="N42" s="233"/>
      <c r="O42" s="233"/>
      <c r="P42" s="233"/>
      <c r="Q42" s="233"/>
      <c r="R42" s="233"/>
      <c r="S42" s="233"/>
      <c r="T42" s="233"/>
      <c r="U42" s="233"/>
      <c r="V42" s="233"/>
    </row>
    <row r="43" spans="1:22" ht="11.25" customHeight="1" x14ac:dyDescent="0.25">
      <c r="A43" s="217"/>
      <c r="B43" s="217"/>
      <c r="C43" s="217"/>
      <c r="D43" s="217"/>
      <c r="E43" s="217"/>
      <c r="F43" s="217"/>
      <c r="G43" s="217"/>
      <c r="H43" s="217"/>
      <c r="I43" s="217"/>
      <c r="J43" s="217"/>
      <c r="K43" s="217"/>
      <c r="L43" s="217"/>
      <c r="M43" s="217"/>
      <c r="N43" s="217"/>
      <c r="O43" s="217"/>
      <c r="P43" s="217"/>
      <c r="Q43" s="217"/>
      <c r="R43" s="217"/>
      <c r="S43" s="217"/>
      <c r="T43" s="217"/>
      <c r="U43" s="217"/>
      <c r="V43" s="217"/>
    </row>
    <row r="44" spans="1:22" ht="11.25" customHeight="1" x14ac:dyDescent="0.25">
      <c r="A44" s="217"/>
      <c r="B44" s="217"/>
      <c r="C44" s="217"/>
      <c r="D44" s="217"/>
      <c r="E44" s="217"/>
      <c r="F44" s="217"/>
      <c r="G44" s="217"/>
      <c r="H44" s="217"/>
      <c r="I44" s="217"/>
      <c r="J44" s="217"/>
      <c r="K44" s="217"/>
      <c r="L44" s="217"/>
      <c r="M44" s="217"/>
      <c r="N44" s="217"/>
      <c r="O44" s="217"/>
      <c r="P44" s="217"/>
      <c r="Q44" s="217"/>
      <c r="R44" s="217"/>
      <c r="S44" s="217"/>
      <c r="T44" s="217"/>
      <c r="U44" s="217"/>
      <c r="V44" s="217"/>
    </row>
    <row r="45" spans="1:22" ht="11.25" customHeight="1" x14ac:dyDescent="0.25">
      <c r="A45" s="217"/>
      <c r="B45" s="217"/>
      <c r="C45" s="217"/>
      <c r="D45" s="217"/>
      <c r="E45" s="217"/>
      <c r="F45" s="217"/>
      <c r="G45" s="217"/>
      <c r="H45" s="217"/>
      <c r="I45" s="217"/>
      <c r="J45" s="217"/>
      <c r="K45" s="217"/>
      <c r="L45" s="217"/>
      <c r="M45" s="217"/>
      <c r="N45" s="217"/>
      <c r="O45" s="217"/>
      <c r="P45" s="217"/>
      <c r="Q45" s="217"/>
      <c r="R45" s="217"/>
      <c r="S45" s="217"/>
      <c r="T45" s="217"/>
      <c r="U45" s="217"/>
      <c r="V45" s="217"/>
    </row>
    <row r="46" spans="1:22" ht="11.25" customHeight="1" x14ac:dyDescent="0.25">
      <c r="A46" s="217"/>
      <c r="B46" s="217"/>
      <c r="C46" s="217"/>
      <c r="D46" s="217"/>
      <c r="E46" s="217"/>
      <c r="F46" s="217"/>
      <c r="G46" s="217"/>
      <c r="H46" s="217"/>
      <c r="I46" s="217"/>
      <c r="J46" s="217"/>
      <c r="K46" s="217"/>
      <c r="L46" s="217"/>
      <c r="M46" s="217"/>
      <c r="N46" s="217"/>
      <c r="O46" s="217"/>
      <c r="P46" s="217"/>
      <c r="Q46" s="217"/>
      <c r="R46" s="217"/>
      <c r="S46" s="217"/>
      <c r="T46" s="217"/>
      <c r="U46" s="217"/>
      <c r="V46" s="217"/>
    </row>
    <row r="47" spans="1:22" ht="11.25" customHeight="1" x14ac:dyDescent="0.25">
      <c r="A47" s="220" t="s">
        <v>57</v>
      </c>
      <c r="B47" s="221"/>
      <c r="C47" s="221"/>
      <c r="D47" s="221"/>
      <c r="E47" s="221"/>
      <c r="F47" s="221"/>
      <c r="G47" s="221"/>
      <c r="H47" s="221"/>
      <c r="I47" s="221"/>
      <c r="J47" s="221"/>
      <c r="K47" s="221"/>
      <c r="L47" s="221"/>
      <c r="M47" s="221"/>
      <c r="N47" s="221"/>
      <c r="O47" s="221"/>
      <c r="P47" s="221"/>
      <c r="Q47" s="221"/>
      <c r="R47" s="221"/>
      <c r="S47" s="221"/>
      <c r="T47" s="221"/>
      <c r="U47" s="63"/>
      <c r="V47" s="63"/>
    </row>
    <row r="48" spans="1:22" ht="11.25" customHeight="1" x14ac:dyDescent="0.25">
      <c r="A48" s="220" t="s">
        <v>0</v>
      </c>
      <c r="B48" s="221"/>
      <c r="C48" s="221"/>
      <c r="D48" s="221"/>
      <c r="E48" s="221"/>
      <c r="F48" s="221"/>
      <c r="G48" s="221"/>
      <c r="H48" s="221"/>
      <c r="I48" s="221"/>
      <c r="J48" s="221"/>
      <c r="K48" s="221"/>
      <c r="L48" s="221"/>
      <c r="M48" s="221"/>
      <c r="N48" s="221"/>
      <c r="O48" s="221"/>
      <c r="P48" s="221"/>
      <c r="Q48" s="221"/>
      <c r="R48" s="221"/>
      <c r="S48" s="221"/>
      <c r="T48" s="221"/>
      <c r="U48" s="63"/>
      <c r="V48" s="63"/>
    </row>
    <row r="49" spans="1:22" ht="11.25" customHeight="1" x14ac:dyDescent="0.25">
      <c r="A49" s="218"/>
      <c r="B49" s="219"/>
      <c r="C49" s="219"/>
      <c r="D49" s="219"/>
      <c r="E49" s="219"/>
      <c r="F49" s="219"/>
      <c r="G49" s="219"/>
      <c r="H49" s="219"/>
      <c r="I49" s="219"/>
      <c r="J49" s="219"/>
      <c r="K49" s="219"/>
      <c r="L49" s="219"/>
      <c r="M49" s="219"/>
      <c r="N49" s="219"/>
      <c r="O49" s="219"/>
      <c r="P49" s="219"/>
      <c r="Q49" s="219"/>
      <c r="R49" s="219"/>
      <c r="S49" s="219"/>
      <c r="T49" s="219"/>
      <c r="U49" s="64"/>
      <c r="V49" s="64"/>
    </row>
    <row r="50" spans="1:22" ht="11.25" customHeight="1" x14ac:dyDescent="0.25">
      <c r="A50" s="222" t="s">
        <v>143</v>
      </c>
      <c r="B50" s="221"/>
      <c r="C50" s="221"/>
      <c r="D50" s="221"/>
      <c r="E50" s="221"/>
      <c r="F50" s="221"/>
      <c r="G50" s="221"/>
      <c r="H50" s="221"/>
      <c r="I50" s="221"/>
      <c r="J50" s="221"/>
      <c r="K50" s="221"/>
      <c r="L50" s="221"/>
      <c r="M50" s="221"/>
      <c r="N50" s="221"/>
      <c r="O50" s="221"/>
      <c r="P50" s="221"/>
      <c r="Q50" s="221"/>
      <c r="R50" s="221"/>
      <c r="S50" s="221"/>
      <c r="T50" s="221"/>
      <c r="U50" s="162"/>
      <c r="V50" s="162"/>
    </row>
    <row r="51" spans="1:22" ht="11.25" customHeight="1" x14ac:dyDescent="0.25">
      <c r="A51" s="223"/>
      <c r="B51" s="224"/>
      <c r="C51" s="224"/>
      <c r="D51" s="224"/>
      <c r="E51" s="224"/>
      <c r="F51" s="224"/>
      <c r="G51" s="224"/>
      <c r="H51" s="224"/>
      <c r="I51" s="224"/>
      <c r="J51" s="224"/>
      <c r="K51" s="224"/>
      <c r="L51" s="224"/>
      <c r="M51" s="224"/>
      <c r="N51" s="224"/>
      <c r="O51" s="224"/>
      <c r="P51" s="224"/>
      <c r="Q51" s="224"/>
      <c r="R51" s="224"/>
      <c r="S51" s="224"/>
      <c r="T51" s="224"/>
      <c r="U51" s="20"/>
      <c r="V51" s="20"/>
    </row>
    <row r="52" spans="1:22" ht="11.25" customHeight="1" x14ac:dyDescent="0.25">
      <c r="A52" s="163"/>
      <c r="B52" s="163"/>
      <c r="C52" s="222" t="s">
        <v>142</v>
      </c>
      <c r="D52" s="225"/>
      <c r="E52" s="225"/>
      <c r="F52" s="225"/>
      <c r="G52" s="225"/>
      <c r="H52" s="225"/>
      <c r="I52" s="225"/>
      <c r="J52" s="225"/>
      <c r="K52" s="225"/>
      <c r="L52" s="225"/>
      <c r="M52" s="225"/>
      <c r="N52" s="225"/>
      <c r="O52" s="225"/>
      <c r="P52" s="225"/>
      <c r="Q52" s="225"/>
      <c r="R52" s="225"/>
      <c r="S52" s="225"/>
      <c r="T52" s="225"/>
      <c r="U52" s="160"/>
      <c r="V52" s="160"/>
    </row>
    <row r="53" spans="1:22" ht="11.25" customHeight="1" x14ac:dyDescent="0.25">
      <c r="A53" s="165"/>
      <c r="B53" s="165"/>
      <c r="C53" s="139" t="s">
        <v>149</v>
      </c>
      <c r="D53" s="140"/>
      <c r="E53" s="140"/>
      <c r="F53" s="140"/>
      <c r="G53" s="140"/>
      <c r="H53" s="140"/>
      <c r="I53" s="140"/>
      <c r="J53" s="140"/>
      <c r="K53" s="140"/>
      <c r="L53" s="140"/>
      <c r="M53" s="140"/>
      <c r="N53" s="140"/>
      <c r="O53" s="140"/>
      <c r="P53" s="140"/>
      <c r="Q53" s="140"/>
      <c r="R53" s="140"/>
      <c r="S53" s="140"/>
      <c r="T53" s="140"/>
      <c r="U53" s="160"/>
      <c r="V53" s="160"/>
    </row>
    <row r="54" spans="1:22" ht="11.25" customHeight="1" x14ac:dyDescent="0.25">
      <c r="A54" s="157"/>
      <c r="B54" s="157"/>
      <c r="C54" s="159" t="s">
        <v>150</v>
      </c>
      <c r="D54" s="154"/>
      <c r="E54" s="155"/>
      <c r="F54" s="157"/>
      <c r="G54" s="157"/>
      <c r="H54" s="157"/>
      <c r="I54" s="240" t="s">
        <v>146</v>
      </c>
      <c r="J54" s="240"/>
      <c r="K54" s="240"/>
      <c r="L54" s="157"/>
      <c r="M54" s="155" t="s">
        <v>58</v>
      </c>
      <c r="N54" s="2"/>
      <c r="O54" s="154" t="s">
        <v>59</v>
      </c>
      <c r="P54" s="157"/>
      <c r="Q54" s="237"/>
      <c r="R54" s="225"/>
      <c r="S54" s="225"/>
      <c r="T54" s="157"/>
      <c r="U54" s="162"/>
      <c r="V54" s="2"/>
    </row>
    <row r="55" spans="1:22" ht="11.25" customHeight="1" x14ac:dyDescent="0.25">
      <c r="A55" s="157"/>
      <c r="B55" s="157"/>
      <c r="C55" s="3" t="s">
        <v>168</v>
      </c>
      <c r="D55" s="2"/>
      <c r="E55" s="226" t="s">
        <v>60</v>
      </c>
      <c r="F55" s="226"/>
      <c r="G55" s="226"/>
      <c r="H55" s="157"/>
      <c r="I55" s="240" t="s">
        <v>147</v>
      </c>
      <c r="J55" s="240"/>
      <c r="K55" s="240"/>
      <c r="L55" s="157"/>
      <c r="M55" s="155" t="s">
        <v>6</v>
      </c>
      <c r="N55" s="2"/>
      <c r="O55" s="155" t="s">
        <v>61</v>
      </c>
      <c r="P55" s="157"/>
      <c r="Q55" s="235" t="s">
        <v>169</v>
      </c>
      <c r="R55" s="229"/>
      <c r="S55" s="229"/>
      <c r="T55" s="157"/>
      <c r="U55" s="162"/>
      <c r="V55" s="2"/>
    </row>
    <row r="56" spans="1:22" ht="11.25" customHeight="1" x14ac:dyDescent="0.25">
      <c r="A56" s="157"/>
      <c r="B56" s="157"/>
      <c r="C56" s="26" t="s">
        <v>18</v>
      </c>
      <c r="D56" s="2"/>
      <c r="E56" s="139" t="s">
        <v>148</v>
      </c>
      <c r="F56" s="157"/>
      <c r="G56" s="155" t="s">
        <v>157</v>
      </c>
      <c r="H56" s="157"/>
      <c r="I56" s="241" t="s">
        <v>21</v>
      </c>
      <c r="J56" s="241"/>
      <c r="K56" s="241"/>
      <c r="L56" s="157"/>
      <c r="M56" s="155" t="s">
        <v>63</v>
      </c>
      <c r="N56" s="2"/>
      <c r="O56" s="154" t="s">
        <v>64</v>
      </c>
      <c r="P56" s="157"/>
      <c r="Q56" s="26" t="s">
        <v>148</v>
      </c>
      <c r="R56" s="31"/>
      <c r="S56" s="26" t="s">
        <v>7</v>
      </c>
      <c r="T56" s="157"/>
      <c r="U56" s="162"/>
      <c r="V56" s="2"/>
    </row>
    <row r="57" spans="1:22" ht="11.25" customHeight="1" x14ac:dyDescent="0.25">
      <c r="A57" s="159" t="s">
        <v>15</v>
      </c>
      <c r="B57" s="157"/>
      <c r="C57" s="159" t="s">
        <v>19</v>
      </c>
      <c r="D57" s="21"/>
      <c r="E57" s="159" t="s">
        <v>65</v>
      </c>
      <c r="F57" s="158"/>
      <c r="G57" s="156" t="s">
        <v>158</v>
      </c>
      <c r="H57" s="158"/>
      <c r="I57" s="166" t="s">
        <v>133</v>
      </c>
      <c r="J57" s="167"/>
      <c r="K57" s="166" t="s">
        <v>62</v>
      </c>
      <c r="L57" s="158"/>
      <c r="M57" s="68" t="s">
        <v>19</v>
      </c>
      <c r="N57" s="21"/>
      <c r="O57" s="159" t="s">
        <v>19</v>
      </c>
      <c r="P57" s="158"/>
      <c r="Q57" s="181" t="s">
        <v>170</v>
      </c>
      <c r="R57" s="182"/>
      <c r="S57" s="181" t="s">
        <v>171</v>
      </c>
      <c r="T57" s="180"/>
      <c r="U57" s="162"/>
      <c r="V57" s="20"/>
    </row>
    <row r="58" spans="1:22" ht="11.25" customHeight="1" x14ac:dyDescent="0.25">
      <c r="A58" s="10" t="s">
        <v>23</v>
      </c>
      <c r="B58" s="162"/>
      <c r="C58" s="48">
        <v>14000</v>
      </c>
      <c r="D58" s="47" t="s">
        <v>25</v>
      </c>
      <c r="E58" s="28" t="s">
        <v>24</v>
      </c>
      <c r="F58" s="157"/>
      <c r="G58" s="28" t="s">
        <v>24</v>
      </c>
      <c r="H58" s="157"/>
      <c r="I58" s="25" t="s">
        <v>24</v>
      </c>
      <c r="J58" s="25"/>
      <c r="K58" s="25" t="s">
        <v>24</v>
      </c>
      <c r="L58" s="25"/>
      <c r="M58" s="29">
        <v>1024</v>
      </c>
      <c r="N58" s="6"/>
      <c r="O58" s="28" t="s">
        <v>24</v>
      </c>
      <c r="P58" s="157"/>
      <c r="Q58" s="27">
        <v>22050</v>
      </c>
      <c r="R58" s="34"/>
      <c r="S58" s="25" t="s">
        <v>24</v>
      </c>
      <c r="T58" s="162"/>
      <c r="U58" s="162"/>
      <c r="V58" s="6"/>
    </row>
    <row r="59" spans="1:22" ht="11.25" customHeight="1" x14ac:dyDescent="0.25">
      <c r="A59" s="10" t="s">
        <v>26</v>
      </c>
      <c r="B59" s="162"/>
      <c r="C59" s="32" t="s">
        <v>24</v>
      </c>
      <c r="D59" s="33"/>
      <c r="E59" s="32" t="s">
        <v>24</v>
      </c>
      <c r="F59" s="157"/>
      <c r="G59" s="32" t="s">
        <v>24</v>
      </c>
      <c r="H59" s="157"/>
      <c r="I59" s="25" t="s">
        <v>24</v>
      </c>
      <c r="J59" s="31"/>
      <c r="K59" s="25" t="s">
        <v>24</v>
      </c>
      <c r="L59" s="31"/>
      <c r="M59" s="32" t="s">
        <v>24</v>
      </c>
      <c r="N59" s="6"/>
      <c r="O59" s="32" t="s">
        <v>24</v>
      </c>
      <c r="P59" s="157"/>
      <c r="Q59" s="25" t="s">
        <v>24</v>
      </c>
      <c r="R59" s="34"/>
      <c r="S59" s="25" t="s">
        <v>24</v>
      </c>
      <c r="T59" s="162"/>
      <c r="U59" s="162"/>
      <c r="V59" s="6"/>
    </row>
    <row r="60" spans="1:22" ht="11.25" customHeight="1" x14ac:dyDescent="0.25">
      <c r="A60" s="10" t="s">
        <v>27</v>
      </c>
      <c r="B60" s="162"/>
      <c r="C60" s="49">
        <v>635</v>
      </c>
      <c r="D60" s="33"/>
      <c r="E60" s="32" t="s">
        <v>24</v>
      </c>
      <c r="F60" s="157"/>
      <c r="G60" s="32" t="s">
        <v>24</v>
      </c>
      <c r="H60" s="157"/>
      <c r="I60" s="25" t="s">
        <v>24</v>
      </c>
      <c r="J60" s="31"/>
      <c r="K60" s="25" t="s">
        <v>24</v>
      </c>
      <c r="L60" s="31"/>
      <c r="M60" s="36">
        <v>1191</v>
      </c>
      <c r="N60" s="4"/>
      <c r="O60" s="36">
        <v>17251</v>
      </c>
      <c r="P60" s="157"/>
      <c r="Q60" s="27">
        <v>519630</v>
      </c>
      <c r="R60" s="34"/>
      <c r="S60" s="25" t="s">
        <v>24</v>
      </c>
      <c r="T60" s="162"/>
      <c r="U60" s="162"/>
      <c r="V60" s="4"/>
    </row>
    <row r="61" spans="1:22" ht="11.25" customHeight="1" x14ac:dyDescent="0.25">
      <c r="A61" s="10" t="s">
        <v>28</v>
      </c>
      <c r="B61" s="162"/>
      <c r="C61" s="32" t="s">
        <v>24</v>
      </c>
      <c r="D61" s="33"/>
      <c r="E61" s="36">
        <v>74</v>
      </c>
      <c r="F61" s="6"/>
      <c r="G61" s="32" t="s">
        <v>24</v>
      </c>
      <c r="H61" s="6"/>
      <c r="I61" s="25" t="s">
        <v>24</v>
      </c>
      <c r="J61" s="31"/>
      <c r="K61" s="25" t="s">
        <v>24</v>
      </c>
      <c r="L61" s="31"/>
      <c r="M61" s="36">
        <v>40</v>
      </c>
      <c r="N61" s="6" t="s">
        <v>25</v>
      </c>
      <c r="O61" s="36">
        <v>17000</v>
      </c>
      <c r="P61" s="6" t="s">
        <v>25</v>
      </c>
      <c r="Q61" s="27">
        <v>167250</v>
      </c>
      <c r="R61" s="34"/>
      <c r="S61" s="35">
        <v>246400</v>
      </c>
      <c r="T61" s="162"/>
      <c r="U61" s="162"/>
      <c r="V61" s="6"/>
    </row>
    <row r="62" spans="1:22" ht="11.25" customHeight="1" x14ac:dyDescent="0.25">
      <c r="A62" s="10" t="s">
        <v>29</v>
      </c>
      <c r="B62" s="162"/>
      <c r="C62" s="40">
        <v>160096</v>
      </c>
      <c r="D62" s="33"/>
      <c r="E62" s="36">
        <v>176</v>
      </c>
      <c r="F62" s="157"/>
      <c r="G62" s="40">
        <v>136</v>
      </c>
      <c r="H62" s="157"/>
      <c r="I62" s="39">
        <v>20000</v>
      </c>
      <c r="J62" s="31" t="s">
        <v>25</v>
      </c>
      <c r="K62" s="39">
        <v>7100</v>
      </c>
      <c r="L62" s="31" t="s">
        <v>25</v>
      </c>
      <c r="M62" s="36">
        <v>353</v>
      </c>
      <c r="N62" s="18"/>
      <c r="O62" s="32" t="s">
        <v>24</v>
      </c>
      <c r="P62" s="157"/>
      <c r="Q62" s="27">
        <v>287119</v>
      </c>
      <c r="R62" s="31"/>
      <c r="S62" s="39">
        <v>696591</v>
      </c>
      <c r="T62" s="162"/>
      <c r="U62" s="162"/>
      <c r="V62" s="18"/>
    </row>
    <row r="63" spans="1:22" ht="11.25" customHeight="1" x14ac:dyDescent="0.25">
      <c r="A63" s="10" t="s">
        <v>30</v>
      </c>
      <c r="B63" s="162"/>
      <c r="C63" s="32" t="s">
        <v>24</v>
      </c>
      <c r="D63" s="33"/>
      <c r="E63" s="32" t="s">
        <v>24</v>
      </c>
      <c r="F63" s="157"/>
      <c r="G63" s="32" t="s">
        <v>24</v>
      </c>
      <c r="H63" s="157"/>
      <c r="I63" s="25" t="s">
        <v>24</v>
      </c>
      <c r="J63" s="31"/>
      <c r="K63" s="25" t="s">
        <v>24</v>
      </c>
      <c r="L63" s="31"/>
      <c r="M63" s="36">
        <v>1370</v>
      </c>
      <c r="N63" s="8"/>
      <c r="O63" s="32" t="s">
        <v>24</v>
      </c>
      <c r="P63" s="157"/>
      <c r="Q63" s="27">
        <v>26810</v>
      </c>
      <c r="R63" s="31"/>
      <c r="S63" s="25" t="s">
        <v>24</v>
      </c>
      <c r="T63" s="162"/>
      <c r="U63" s="162"/>
      <c r="V63" s="8"/>
    </row>
    <row r="64" spans="1:22" ht="11.25" customHeight="1" x14ac:dyDescent="0.25">
      <c r="A64" s="10" t="s">
        <v>31</v>
      </c>
      <c r="B64" s="162"/>
      <c r="C64" s="32" t="s">
        <v>24</v>
      </c>
      <c r="D64" s="33"/>
      <c r="E64" s="32" t="s">
        <v>24</v>
      </c>
      <c r="F64" s="6"/>
      <c r="G64" s="32" t="s">
        <v>24</v>
      </c>
      <c r="H64" s="6"/>
      <c r="I64" s="25" t="s">
        <v>24</v>
      </c>
      <c r="J64" s="31"/>
      <c r="K64" s="35">
        <v>269</v>
      </c>
      <c r="L64" s="31"/>
      <c r="M64" s="36">
        <v>16</v>
      </c>
      <c r="N64" s="8"/>
      <c r="O64" s="32" t="s">
        <v>24</v>
      </c>
      <c r="P64" s="157"/>
      <c r="Q64" s="25" t="s">
        <v>24</v>
      </c>
      <c r="R64" s="34"/>
      <c r="S64" s="25" t="s">
        <v>24</v>
      </c>
      <c r="T64" s="162"/>
      <c r="U64" s="162"/>
      <c r="V64" s="8"/>
    </row>
    <row r="65" spans="1:22" ht="11.25" customHeight="1" x14ac:dyDescent="0.25">
      <c r="A65" s="10" t="s">
        <v>32</v>
      </c>
      <c r="B65" s="162"/>
      <c r="C65" s="32" t="s">
        <v>24</v>
      </c>
      <c r="D65" s="33"/>
      <c r="E65" s="32" t="s">
        <v>24</v>
      </c>
      <c r="F65" s="6"/>
      <c r="G65" s="32" t="s">
        <v>24</v>
      </c>
      <c r="H65" s="6"/>
      <c r="I65" s="25" t="s">
        <v>24</v>
      </c>
      <c r="J65" s="31"/>
      <c r="K65" s="25" t="s">
        <v>24</v>
      </c>
      <c r="L65" s="31"/>
      <c r="M65" s="32" t="s">
        <v>24</v>
      </c>
      <c r="N65" s="8"/>
      <c r="O65" s="32" t="s">
        <v>24</v>
      </c>
      <c r="P65" s="157"/>
      <c r="Q65" s="25" t="s">
        <v>24</v>
      </c>
      <c r="R65" s="31"/>
      <c r="S65" s="25" t="s">
        <v>24</v>
      </c>
      <c r="T65" s="162"/>
      <c r="U65" s="162"/>
      <c r="V65" s="8"/>
    </row>
    <row r="66" spans="1:22" ht="11.25" customHeight="1" x14ac:dyDescent="0.25">
      <c r="A66" s="10" t="s">
        <v>33</v>
      </c>
      <c r="B66" s="162"/>
      <c r="C66" s="32" t="s">
        <v>24</v>
      </c>
      <c r="D66" s="33"/>
      <c r="E66" s="36">
        <v>51</v>
      </c>
      <c r="F66" s="6"/>
      <c r="G66" s="32" t="s">
        <v>24</v>
      </c>
      <c r="H66" s="6"/>
      <c r="I66" s="25" t="s">
        <v>24</v>
      </c>
      <c r="J66" s="31"/>
      <c r="K66" s="25" t="s">
        <v>24</v>
      </c>
      <c r="L66" s="31"/>
      <c r="M66" s="32" t="s">
        <v>24</v>
      </c>
      <c r="N66" s="8"/>
      <c r="O66" s="32" t="s">
        <v>24</v>
      </c>
      <c r="P66" s="157"/>
      <c r="Q66" s="27">
        <v>45000</v>
      </c>
      <c r="R66" s="31" t="s">
        <v>25</v>
      </c>
      <c r="S66" s="25" t="s">
        <v>24</v>
      </c>
      <c r="T66" s="162"/>
      <c r="U66" s="162"/>
      <c r="V66" s="8"/>
    </row>
    <row r="67" spans="1:22" ht="11.25" customHeight="1" x14ac:dyDescent="0.25">
      <c r="A67" s="10" t="s">
        <v>34</v>
      </c>
      <c r="B67" s="162"/>
      <c r="C67" s="32" t="s">
        <v>24</v>
      </c>
      <c r="D67" s="33"/>
      <c r="E67" s="32" t="s">
        <v>24</v>
      </c>
      <c r="F67" s="6"/>
      <c r="G67" s="32" t="s">
        <v>24</v>
      </c>
      <c r="H67" s="6"/>
      <c r="I67" s="25" t="s">
        <v>24</v>
      </c>
      <c r="J67" s="31"/>
      <c r="K67" s="25" t="s">
        <v>24</v>
      </c>
      <c r="L67" s="31"/>
      <c r="M67" s="36">
        <v>167</v>
      </c>
      <c r="N67" s="8"/>
      <c r="O67" s="32" t="s">
        <v>24</v>
      </c>
      <c r="P67" s="157"/>
      <c r="Q67" s="27">
        <v>4000</v>
      </c>
      <c r="R67" s="31" t="s">
        <v>25</v>
      </c>
      <c r="S67" s="25" t="s">
        <v>24</v>
      </c>
      <c r="T67" s="162"/>
      <c r="U67" s="162"/>
      <c r="V67" s="8"/>
    </row>
    <row r="68" spans="1:22" ht="11.25" customHeight="1" x14ac:dyDescent="0.25">
      <c r="A68" s="10" t="s">
        <v>35</v>
      </c>
      <c r="B68" s="162"/>
      <c r="C68" s="32" t="s">
        <v>24</v>
      </c>
      <c r="D68" s="33"/>
      <c r="E68" s="32" t="s">
        <v>24</v>
      </c>
      <c r="F68" s="157"/>
      <c r="G68" s="32" t="s">
        <v>24</v>
      </c>
      <c r="H68" s="157"/>
      <c r="I68" s="25" t="s">
        <v>24</v>
      </c>
      <c r="J68" s="31"/>
      <c r="K68" s="25" t="s">
        <v>24</v>
      </c>
      <c r="L68" s="31"/>
      <c r="M68" s="36">
        <v>1</v>
      </c>
      <c r="N68" s="4" t="s">
        <v>25</v>
      </c>
      <c r="O68" s="32" t="s">
        <v>24</v>
      </c>
      <c r="P68" s="157"/>
      <c r="Q68" s="25" t="s">
        <v>24</v>
      </c>
      <c r="R68" s="34"/>
      <c r="S68" s="25" t="s">
        <v>24</v>
      </c>
      <c r="T68" s="162"/>
      <c r="U68" s="162"/>
      <c r="V68" s="6"/>
    </row>
    <row r="69" spans="1:22" ht="11.25" customHeight="1" x14ac:dyDescent="0.25">
      <c r="A69" s="10" t="s">
        <v>36</v>
      </c>
      <c r="B69" s="162"/>
      <c r="C69" s="32" t="s">
        <v>24</v>
      </c>
      <c r="D69" s="33"/>
      <c r="E69" s="32" t="s">
        <v>24</v>
      </c>
      <c r="F69" s="157"/>
      <c r="G69" s="32" t="s">
        <v>24</v>
      </c>
      <c r="H69" s="157"/>
      <c r="I69" s="25" t="s">
        <v>24</v>
      </c>
      <c r="J69" s="31"/>
      <c r="K69" s="25" t="s">
        <v>24</v>
      </c>
      <c r="L69" s="31"/>
      <c r="M69" s="32" t="s">
        <v>24</v>
      </c>
      <c r="N69" s="8"/>
      <c r="O69" s="32" t="s">
        <v>24</v>
      </c>
      <c r="P69" s="157"/>
      <c r="Q69" s="25" t="s">
        <v>24</v>
      </c>
      <c r="R69" s="31"/>
      <c r="S69" s="25" t="s">
        <v>24</v>
      </c>
      <c r="T69" s="162"/>
      <c r="U69" s="162"/>
      <c r="V69" s="8"/>
    </row>
    <row r="70" spans="1:22" ht="11.25" customHeight="1" x14ac:dyDescent="0.25">
      <c r="A70" s="10" t="s">
        <v>37</v>
      </c>
      <c r="B70" s="162"/>
      <c r="C70" s="32" t="s">
        <v>24</v>
      </c>
      <c r="D70" s="33"/>
      <c r="E70" s="32" t="s">
        <v>24</v>
      </c>
      <c r="F70" s="157"/>
      <c r="G70" s="32" t="s">
        <v>24</v>
      </c>
      <c r="H70" s="157"/>
      <c r="I70" s="25" t="s">
        <v>24</v>
      </c>
      <c r="J70" s="31"/>
      <c r="K70" s="25" t="s">
        <v>24</v>
      </c>
      <c r="L70" s="31"/>
      <c r="M70" s="32" t="s">
        <v>24</v>
      </c>
      <c r="N70" s="8"/>
      <c r="O70" s="32" t="s">
        <v>24</v>
      </c>
      <c r="P70" s="157"/>
      <c r="Q70" s="25" t="s">
        <v>24</v>
      </c>
      <c r="R70" s="38"/>
      <c r="S70" s="25" t="s">
        <v>24</v>
      </c>
      <c r="T70" s="162"/>
      <c r="U70" s="162"/>
      <c r="V70" s="8"/>
    </row>
    <row r="71" spans="1:22" ht="11.25" customHeight="1" x14ac:dyDescent="0.25">
      <c r="A71" s="10" t="s">
        <v>38</v>
      </c>
      <c r="B71" s="162"/>
      <c r="C71" s="32" t="s">
        <v>24</v>
      </c>
      <c r="D71" s="33"/>
      <c r="E71" s="32" t="s">
        <v>24</v>
      </c>
      <c r="F71" s="157"/>
      <c r="G71" s="32" t="s">
        <v>24</v>
      </c>
      <c r="H71" s="157"/>
      <c r="I71" s="25" t="s">
        <v>24</v>
      </c>
      <c r="J71" s="31"/>
      <c r="K71" s="25" t="s">
        <v>24</v>
      </c>
      <c r="L71" s="31"/>
      <c r="M71" s="32" t="s">
        <v>24</v>
      </c>
      <c r="N71" s="6"/>
      <c r="O71" s="32" t="s">
        <v>24</v>
      </c>
      <c r="P71" s="157"/>
      <c r="Q71" s="25" t="s">
        <v>24</v>
      </c>
      <c r="R71" s="31"/>
      <c r="S71" s="25" t="s">
        <v>24</v>
      </c>
      <c r="T71" s="162"/>
      <c r="U71" s="162"/>
      <c r="V71" s="6"/>
    </row>
    <row r="72" spans="1:22" ht="11.25" customHeight="1" x14ac:dyDescent="0.25">
      <c r="A72" s="10" t="s">
        <v>39</v>
      </c>
      <c r="B72" s="162"/>
      <c r="C72" s="32" t="s">
        <v>24</v>
      </c>
      <c r="D72" s="33"/>
      <c r="E72" s="32" t="s">
        <v>24</v>
      </c>
      <c r="F72" s="157"/>
      <c r="G72" s="32" t="s">
        <v>24</v>
      </c>
      <c r="H72" s="157"/>
      <c r="I72" s="25" t="s">
        <v>24</v>
      </c>
      <c r="J72" s="31"/>
      <c r="K72" s="25" t="s">
        <v>24</v>
      </c>
      <c r="L72" s="31"/>
      <c r="M72" s="32" t="s">
        <v>24</v>
      </c>
      <c r="N72" s="8"/>
      <c r="O72" s="32" t="s">
        <v>24</v>
      </c>
      <c r="P72" s="157"/>
      <c r="Q72" s="25" t="s">
        <v>24</v>
      </c>
      <c r="R72" s="31"/>
      <c r="S72" s="25" t="s">
        <v>24</v>
      </c>
      <c r="T72" s="162"/>
      <c r="U72" s="162"/>
      <c r="V72" s="8"/>
    </row>
    <row r="73" spans="1:22" ht="11.25" customHeight="1" x14ac:dyDescent="0.25">
      <c r="A73" s="10" t="s">
        <v>40</v>
      </c>
      <c r="B73" s="162"/>
      <c r="C73" s="32" t="s">
        <v>24</v>
      </c>
      <c r="D73" s="33"/>
      <c r="E73" s="32" t="s">
        <v>24</v>
      </c>
      <c r="F73" s="157"/>
      <c r="G73" s="32" t="s">
        <v>24</v>
      </c>
      <c r="H73" s="157"/>
      <c r="I73" s="25" t="s">
        <v>24</v>
      </c>
      <c r="J73" s="31"/>
      <c r="K73" s="25" t="s">
        <v>24</v>
      </c>
      <c r="L73" s="31"/>
      <c r="M73" s="36">
        <v>31</v>
      </c>
      <c r="N73" s="6"/>
      <c r="O73" s="32" t="s">
        <v>24</v>
      </c>
      <c r="P73" s="157"/>
      <c r="Q73" s="27">
        <v>28421</v>
      </c>
      <c r="R73" s="34"/>
      <c r="S73" s="25" t="s">
        <v>24</v>
      </c>
      <c r="T73" s="162"/>
      <c r="U73" s="162"/>
      <c r="V73" s="6"/>
    </row>
    <row r="74" spans="1:22" ht="11.25" customHeight="1" x14ac:dyDescent="0.25">
      <c r="A74" s="10" t="s">
        <v>41</v>
      </c>
      <c r="B74" s="162"/>
      <c r="C74" s="32" t="s">
        <v>24</v>
      </c>
      <c r="D74" s="33"/>
      <c r="E74" s="32" t="s">
        <v>24</v>
      </c>
      <c r="F74" s="157"/>
      <c r="G74" s="32" t="s">
        <v>24</v>
      </c>
      <c r="H74" s="157"/>
      <c r="I74" s="25" t="s">
        <v>24</v>
      </c>
      <c r="J74" s="31"/>
      <c r="K74" s="25" t="s">
        <v>24</v>
      </c>
      <c r="L74" s="31"/>
      <c r="M74" s="32" t="s">
        <v>24</v>
      </c>
      <c r="N74" s="8"/>
      <c r="O74" s="32" t="s">
        <v>24</v>
      </c>
      <c r="P74" s="157"/>
      <c r="Q74" s="25" t="s">
        <v>24</v>
      </c>
      <c r="R74" s="31"/>
      <c r="S74" s="25" t="s">
        <v>24</v>
      </c>
      <c r="T74" s="162"/>
      <c r="U74" s="162"/>
      <c r="V74" s="8"/>
    </row>
    <row r="75" spans="1:22" ht="11.25" customHeight="1" x14ac:dyDescent="0.25">
      <c r="A75" s="10" t="s">
        <v>42</v>
      </c>
      <c r="B75" s="162"/>
      <c r="C75" s="49">
        <v>104000</v>
      </c>
      <c r="D75" s="33" t="s">
        <v>25</v>
      </c>
      <c r="E75" s="32" t="s">
        <v>24</v>
      </c>
      <c r="F75" s="157"/>
      <c r="G75" s="32" t="s">
        <v>24</v>
      </c>
      <c r="H75" s="157"/>
      <c r="I75" s="25" t="s">
        <v>24</v>
      </c>
      <c r="J75" s="31"/>
      <c r="K75" s="25" t="s">
        <v>24</v>
      </c>
      <c r="L75" s="31"/>
      <c r="M75" s="36">
        <v>6116</v>
      </c>
      <c r="N75" s="8"/>
      <c r="O75" s="32" t="s">
        <v>24</v>
      </c>
      <c r="P75" s="6"/>
      <c r="Q75" s="27">
        <v>690895</v>
      </c>
      <c r="R75" s="31"/>
      <c r="S75" s="35">
        <v>336300</v>
      </c>
      <c r="T75" s="162"/>
      <c r="U75" s="162"/>
      <c r="V75" s="8"/>
    </row>
    <row r="76" spans="1:22" ht="11.25" customHeight="1" x14ac:dyDescent="0.25">
      <c r="A76" s="10" t="s">
        <v>43</v>
      </c>
      <c r="B76" s="162"/>
      <c r="C76" s="32" t="s">
        <v>24</v>
      </c>
      <c r="D76" s="33"/>
      <c r="E76" s="32" t="s">
        <v>24</v>
      </c>
      <c r="F76" s="157"/>
      <c r="G76" s="32" t="s">
        <v>24</v>
      </c>
      <c r="H76" s="157"/>
      <c r="I76" s="25" t="s">
        <v>24</v>
      </c>
      <c r="J76" s="31"/>
      <c r="K76" s="25" t="s">
        <v>24</v>
      </c>
      <c r="L76" s="31"/>
      <c r="M76" s="36">
        <v>11</v>
      </c>
      <c r="N76" s="6"/>
      <c r="O76" s="32" t="s">
        <v>24</v>
      </c>
      <c r="P76" s="157"/>
      <c r="Q76" s="25" t="s">
        <v>24</v>
      </c>
      <c r="R76" s="31"/>
      <c r="S76" s="25" t="s">
        <v>24</v>
      </c>
      <c r="T76" s="162"/>
      <c r="U76" s="162"/>
      <c r="V76" s="6"/>
    </row>
    <row r="77" spans="1:22" ht="11.25" customHeight="1" x14ac:dyDescent="0.25">
      <c r="A77" s="10" t="s">
        <v>44</v>
      </c>
      <c r="B77" s="162"/>
      <c r="C77" s="32" t="s">
        <v>24</v>
      </c>
      <c r="D77" s="33"/>
      <c r="E77" s="32" t="s">
        <v>24</v>
      </c>
      <c r="F77" s="157"/>
      <c r="G77" s="32" t="s">
        <v>24</v>
      </c>
      <c r="H77" s="157"/>
      <c r="I77" s="25" t="s">
        <v>24</v>
      </c>
      <c r="J77" s="31"/>
      <c r="K77" s="25" t="s">
        <v>24</v>
      </c>
      <c r="L77" s="31"/>
      <c r="M77" s="32" t="s">
        <v>24</v>
      </c>
      <c r="N77" s="6"/>
      <c r="O77" s="32" t="s">
        <v>24</v>
      </c>
      <c r="P77" s="157"/>
      <c r="Q77" s="25" t="s">
        <v>24</v>
      </c>
      <c r="R77" s="31"/>
      <c r="S77" s="25" t="s">
        <v>24</v>
      </c>
      <c r="T77" s="162"/>
      <c r="U77" s="162"/>
      <c r="V77" s="6"/>
    </row>
    <row r="78" spans="1:22" ht="11.25" customHeight="1" x14ac:dyDescent="0.25">
      <c r="A78" s="10" t="s">
        <v>45</v>
      </c>
      <c r="B78" s="162"/>
      <c r="C78" s="32" t="s">
        <v>24</v>
      </c>
      <c r="D78" s="33"/>
      <c r="E78" s="32" t="s">
        <v>24</v>
      </c>
      <c r="F78" s="157"/>
      <c r="G78" s="32" t="s">
        <v>24</v>
      </c>
      <c r="H78" s="157"/>
      <c r="I78" s="25" t="s">
        <v>24</v>
      </c>
      <c r="J78" s="31"/>
      <c r="K78" s="25" t="s">
        <v>24</v>
      </c>
      <c r="L78" s="31"/>
      <c r="M78" s="32" t="s">
        <v>24</v>
      </c>
      <c r="N78" s="8"/>
      <c r="O78" s="32" t="s">
        <v>24</v>
      </c>
      <c r="P78" s="157"/>
      <c r="Q78" s="25" t="s">
        <v>24</v>
      </c>
      <c r="R78" s="31"/>
      <c r="S78" s="25" t="s">
        <v>24</v>
      </c>
      <c r="T78" s="162"/>
      <c r="U78" s="162"/>
      <c r="V78" s="8"/>
    </row>
    <row r="79" spans="1:22" ht="11.25" customHeight="1" x14ac:dyDescent="0.25">
      <c r="A79" s="10" t="s">
        <v>46</v>
      </c>
      <c r="B79" s="162"/>
      <c r="C79" s="32" t="s">
        <v>24</v>
      </c>
      <c r="D79" s="33"/>
      <c r="E79" s="32" t="s">
        <v>24</v>
      </c>
      <c r="F79" s="157"/>
      <c r="G79" s="32" t="s">
        <v>24</v>
      </c>
      <c r="H79" s="157"/>
      <c r="I79" s="25" t="s">
        <v>24</v>
      </c>
      <c r="J79" s="31"/>
      <c r="K79" s="25" t="s">
        <v>24</v>
      </c>
      <c r="L79" s="31"/>
      <c r="M79" s="36">
        <v>4163</v>
      </c>
      <c r="N79" s="8"/>
      <c r="O79" s="36">
        <v>18601</v>
      </c>
      <c r="P79" s="157"/>
      <c r="Q79" s="27">
        <v>1474674</v>
      </c>
      <c r="R79" s="34"/>
      <c r="S79" s="35">
        <v>333677</v>
      </c>
      <c r="T79" s="162"/>
      <c r="U79" s="162"/>
      <c r="V79" s="8"/>
    </row>
    <row r="80" spans="1:22" ht="11.25" customHeight="1" x14ac:dyDescent="0.25">
      <c r="A80" s="10" t="s">
        <v>47</v>
      </c>
      <c r="B80" s="162"/>
      <c r="C80" s="32" t="s">
        <v>24</v>
      </c>
      <c r="D80" s="33"/>
      <c r="E80" s="32" t="s">
        <v>24</v>
      </c>
      <c r="F80" s="157"/>
      <c r="G80" s="32" t="s">
        <v>24</v>
      </c>
      <c r="H80" s="157"/>
      <c r="I80" s="25" t="s">
        <v>24</v>
      </c>
      <c r="J80" s="31"/>
      <c r="K80" s="25" t="s">
        <v>24</v>
      </c>
      <c r="L80" s="31"/>
      <c r="M80" s="32" t="s">
        <v>24</v>
      </c>
      <c r="N80" s="8"/>
      <c r="O80" s="32" t="s">
        <v>24</v>
      </c>
      <c r="P80" s="157"/>
      <c r="Q80" s="25" t="s">
        <v>24</v>
      </c>
      <c r="R80" s="31"/>
      <c r="S80" s="25" t="s">
        <v>24</v>
      </c>
      <c r="T80" s="162"/>
      <c r="U80" s="162"/>
      <c r="V80" s="8"/>
    </row>
    <row r="81" spans="1:22" ht="11.25" customHeight="1" x14ac:dyDescent="0.25">
      <c r="A81" s="10" t="s">
        <v>48</v>
      </c>
      <c r="B81" s="162"/>
      <c r="C81" s="32" t="s">
        <v>24</v>
      </c>
      <c r="D81" s="33"/>
      <c r="E81" s="32" t="s">
        <v>24</v>
      </c>
      <c r="F81" s="157"/>
      <c r="G81" s="32" t="s">
        <v>24</v>
      </c>
      <c r="H81" s="157"/>
      <c r="I81" s="25" t="s">
        <v>24</v>
      </c>
      <c r="J81" s="31"/>
      <c r="K81" s="25" t="s">
        <v>24</v>
      </c>
      <c r="L81" s="31"/>
      <c r="M81" s="32" t="s">
        <v>24</v>
      </c>
      <c r="N81" s="8"/>
      <c r="O81" s="32" t="s">
        <v>24</v>
      </c>
      <c r="P81" s="157"/>
      <c r="Q81" s="25" t="s">
        <v>24</v>
      </c>
      <c r="R81" s="31"/>
      <c r="S81" s="25" t="s">
        <v>24</v>
      </c>
      <c r="T81" s="162"/>
      <c r="U81" s="162"/>
      <c r="V81" s="8"/>
    </row>
    <row r="82" spans="1:22" ht="11.25" customHeight="1" x14ac:dyDescent="0.25">
      <c r="A82" s="10" t="s">
        <v>49</v>
      </c>
      <c r="B82" s="162"/>
      <c r="C82" s="32" t="s">
        <v>24</v>
      </c>
      <c r="D82" s="33"/>
      <c r="E82" s="32" t="s">
        <v>24</v>
      </c>
      <c r="F82" s="157"/>
      <c r="G82" s="32" t="s">
        <v>24</v>
      </c>
      <c r="H82" s="157"/>
      <c r="I82" s="25" t="s">
        <v>24</v>
      </c>
      <c r="J82" s="31"/>
      <c r="K82" s="25" t="s">
        <v>24</v>
      </c>
      <c r="L82" s="31"/>
      <c r="M82" s="32" t="s">
        <v>24</v>
      </c>
      <c r="N82" s="8"/>
      <c r="O82" s="32" t="s">
        <v>24</v>
      </c>
      <c r="P82" s="157"/>
      <c r="Q82" s="25" t="s">
        <v>24</v>
      </c>
      <c r="R82" s="31"/>
      <c r="S82" s="25" t="s">
        <v>24</v>
      </c>
      <c r="T82" s="162"/>
      <c r="U82" s="162"/>
      <c r="V82" s="8"/>
    </row>
    <row r="83" spans="1:22" ht="11.25" customHeight="1" x14ac:dyDescent="0.25">
      <c r="A83" s="10" t="s">
        <v>50</v>
      </c>
      <c r="B83" s="162"/>
      <c r="C83" s="43" t="s">
        <v>24</v>
      </c>
      <c r="D83" s="50"/>
      <c r="E83" s="43" t="s">
        <v>24</v>
      </c>
      <c r="F83" s="5"/>
      <c r="G83" s="43" t="s">
        <v>24</v>
      </c>
      <c r="H83" s="5"/>
      <c r="I83" s="32" t="s">
        <v>24</v>
      </c>
      <c r="J83" s="33"/>
      <c r="K83" s="32" t="s">
        <v>24</v>
      </c>
      <c r="L83" s="33"/>
      <c r="M83" s="32" t="s">
        <v>24</v>
      </c>
      <c r="N83" s="17"/>
      <c r="O83" s="32" t="s">
        <v>24</v>
      </c>
      <c r="P83" s="158"/>
      <c r="Q83" s="43" t="s">
        <v>24</v>
      </c>
      <c r="R83" s="50"/>
      <c r="S83" s="43" t="s">
        <v>24</v>
      </c>
      <c r="T83" s="61"/>
      <c r="U83" s="162"/>
      <c r="V83" s="17"/>
    </row>
    <row r="84" spans="1:22" ht="11.25" customHeight="1" x14ac:dyDescent="0.25">
      <c r="A84" s="24" t="s">
        <v>51</v>
      </c>
      <c r="B84" s="162"/>
      <c r="C84" s="1">
        <v>279000</v>
      </c>
      <c r="D84" s="15" t="s">
        <v>25</v>
      </c>
      <c r="E84" s="1">
        <v>301</v>
      </c>
      <c r="F84" s="157"/>
      <c r="G84" s="1">
        <v>136</v>
      </c>
      <c r="H84" s="157"/>
      <c r="I84" s="134">
        <v>20000</v>
      </c>
      <c r="J84" s="135" t="s">
        <v>25</v>
      </c>
      <c r="K84" s="134">
        <v>7400</v>
      </c>
      <c r="L84" s="135" t="s">
        <v>25</v>
      </c>
      <c r="M84" s="134">
        <v>14500</v>
      </c>
      <c r="N84" s="135" t="s">
        <v>25</v>
      </c>
      <c r="O84" s="134">
        <v>52900</v>
      </c>
      <c r="P84" s="15" t="s">
        <v>25</v>
      </c>
      <c r="Q84" s="134">
        <v>3270000</v>
      </c>
      <c r="R84" s="135" t="s">
        <v>25</v>
      </c>
      <c r="S84" s="134">
        <v>1612968</v>
      </c>
      <c r="T84" s="145"/>
      <c r="U84" s="162"/>
      <c r="V84" s="17"/>
    </row>
    <row r="85" spans="1:22" ht="11.25" customHeight="1" x14ac:dyDescent="0.25">
      <c r="A85" s="24" t="s">
        <v>52</v>
      </c>
      <c r="B85" s="162"/>
      <c r="C85" s="19">
        <f>C84/C88</f>
        <v>5.7289527720739218E-2</v>
      </c>
      <c r="D85" s="157"/>
      <c r="E85" s="19">
        <f>E84/E88</f>
        <v>0.13201754385964912</v>
      </c>
      <c r="F85" s="157"/>
      <c r="G85" s="19">
        <f>G84/G88</f>
        <v>0.14928649835345773</v>
      </c>
      <c r="H85" s="157"/>
      <c r="I85" s="19">
        <f>I84/I88</f>
        <v>9.0909090909090912E-2</v>
      </c>
      <c r="J85" s="157"/>
      <c r="K85" s="19">
        <f>K84/K88</f>
        <v>3.9153439153439155E-2</v>
      </c>
      <c r="L85" s="157"/>
      <c r="M85" s="19">
        <f>M84/M88</f>
        <v>0.53703703703703709</v>
      </c>
      <c r="N85" s="157"/>
      <c r="O85" s="19">
        <f>O84/O88</f>
        <v>0.16377708978328173</v>
      </c>
      <c r="P85" s="157"/>
      <c r="Q85" s="19">
        <f>Q84/Q88</f>
        <v>0.2616</v>
      </c>
      <c r="R85" s="157"/>
      <c r="S85" s="19">
        <f>S84/S88</f>
        <v>0.11688173913043479</v>
      </c>
      <c r="T85" s="162"/>
      <c r="U85" s="162"/>
      <c r="V85" s="165"/>
    </row>
    <row r="86" spans="1:22" ht="11.25" customHeight="1" x14ac:dyDescent="0.25">
      <c r="A86" s="10" t="s">
        <v>53</v>
      </c>
      <c r="B86" s="162"/>
      <c r="C86" s="32" t="s">
        <v>24</v>
      </c>
      <c r="D86" s="8"/>
      <c r="E86" s="1">
        <v>18</v>
      </c>
      <c r="F86" s="157"/>
      <c r="G86" s="32" t="s">
        <v>24</v>
      </c>
      <c r="H86" s="157"/>
      <c r="I86" s="1">
        <v>14300</v>
      </c>
      <c r="J86" s="157"/>
      <c r="K86" s="1">
        <v>4160</v>
      </c>
      <c r="L86" s="157"/>
      <c r="M86" s="1">
        <v>934</v>
      </c>
      <c r="N86" s="8"/>
      <c r="O86" s="32" t="s">
        <v>24</v>
      </c>
      <c r="P86" s="157"/>
      <c r="Q86" s="1">
        <v>824000</v>
      </c>
      <c r="R86" s="8"/>
      <c r="S86" s="1">
        <v>116000</v>
      </c>
      <c r="T86" s="162"/>
      <c r="U86" s="162"/>
      <c r="V86" s="17"/>
    </row>
    <row r="87" spans="1:22" ht="11.25" customHeight="1" x14ac:dyDescent="0.25">
      <c r="A87" s="24" t="s">
        <v>52</v>
      </c>
      <c r="B87" s="162"/>
      <c r="C87" s="32" t="s">
        <v>24</v>
      </c>
      <c r="D87" s="157"/>
      <c r="E87" s="9">
        <f>E86/E88</f>
        <v>7.8947368421052634E-3</v>
      </c>
      <c r="F87" s="157"/>
      <c r="G87" s="32" t="s">
        <v>24</v>
      </c>
      <c r="H87" s="157"/>
      <c r="I87" s="58">
        <f>I86/I88</f>
        <v>6.5000000000000002E-2</v>
      </c>
      <c r="J87" s="157"/>
      <c r="K87" s="9">
        <f>K86/K88</f>
        <v>2.2010582010582012E-2</v>
      </c>
      <c r="L87" s="157"/>
      <c r="M87" s="9">
        <f>M86/M88</f>
        <v>3.4592592592592591E-2</v>
      </c>
      <c r="N87" s="157"/>
      <c r="O87" s="32" t="s">
        <v>24</v>
      </c>
      <c r="P87" s="165"/>
      <c r="Q87" s="9">
        <f>Q86/Q88</f>
        <v>6.5920000000000006E-2</v>
      </c>
      <c r="R87" s="157"/>
      <c r="S87" s="9">
        <f>S86/S88</f>
        <v>8.4057971014492756E-3</v>
      </c>
      <c r="T87" s="162"/>
      <c r="U87" s="162"/>
      <c r="V87" s="165"/>
    </row>
    <row r="88" spans="1:22" ht="11.25" customHeight="1" x14ac:dyDescent="0.25">
      <c r="A88" s="24" t="s">
        <v>55</v>
      </c>
      <c r="B88" s="61"/>
      <c r="C88" s="59">
        <v>4870000</v>
      </c>
      <c r="D88" s="14"/>
      <c r="E88" s="59">
        <v>2280</v>
      </c>
      <c r="F88" s="158"/>
      <c r="G88" s="59">
        <v>911</v>
      </c>
      <c r="H88" s="158"/>
      <c r="I88" s="59">
        <v>220000</v>
      </c>
      <c r="J88" s="158"/>
      <c r="K88" s="59">
        <v>189000</v>
      </c>
      <c r="L88" s="158"/>
      <c r="M88" s="59">
        <v>27000</v>
      </c>
      <c r="N88" s="14"/>
      <c r="O88" s="59">
        <v>323000</v>
      </c>
      <c r="P88" s="158"/>
      <c r="Q88" s="59">
        <v>12500000</v>
      </c>
      <c r="R88" s="14"/>
      <c r="S88" s="59">
        <v>13800000</v>
      </c>
      <c r="T88" s="61"/>
      <c r="U88" s="164"/>
      <c r="V88" s="17"/>
    </row>
    <row r="89" spans="1:22" ht="11.25" customHeight="1" x14ac:dyDescent="0.25">
      <c r="A89" s="227" t="s">
        <v>56</v>
      </c>
      <c r="B89" s="228"/>
      <c r="C89" s="228"/>
      <c r="D89" s="228"/>
      <c r="E89" s="228"/>
      <c r="F89" s="228"/>
      <c r="G89" s="228"/>
      <c r="H89" s="228"/>
      <c r="I89" s="228"/>
      <c r="J89" s="228"/>
      <c r="K89" s="228"/>
      <c r="L89" s="228"/>
      <c r="M89" s="228"/>
      <c r="N89" s="228"/>
      <c r="O89" s="228"/>
      <c r="P89" s="228"/>
      <c r="Q89" s="228"/>
      <c r="R89" s="228"/>
      <c r="S89" s="228"/>
      <c r="T89" s="228"/>
      <c r="U89" s="162"/>
      <c r="V89" s="162"/>
    </row>
    <row r="90" spans="1:22" ht="11.25" customHeight="1" x14ac:dyDescent="0.25">
      <c r="A90" s="217"/>
      <c r="B90" s="217"/>
      <c r="C90" s="217"/>
      <c r="D90" s="217"/>
      <c r="E90" s="217"/>
      <c r="F90" s="217"/>
      <c r="G90" s="217"/>
      <c r="H90" s="217"/>
      <c r="I90" s="217"/>
      <c r="J90" s="217"/>
      <c r="K90" s="217"/>
      <c r="L90" s="217"/>
      <c r="M90" s="217"/>
      <c r="N90" s="217"/>
      <c r="O90" s="217"/>
      <c r="P90" s="217"/>
      <c r="Q90" s="217"/>
      <c r="R90" s="217"/>
      <c r="S90" s="217"/>
      <c r="T90" s="217"/>
      <c r="U90" s="20"/>
      <c r="V90" s="20"/>
    </row>
    <row r="91" spans="1:22" ht="11.25" customHeight="1" x14ac:dyDescent="0.25">
      <c r="A91" s="217"/>
      <c r="B91" s="217"/>
      <c r="C91" s="217"/>
      <c r="D91" s="217"/>
      <c r="E91" s="217"/>
      <c r="F91" s="217"/>
      <c r="G91" s="217"/>
      <c r="H91" s="217"/>
      <c r="I91" s="217"/>
      <c r="J91" s="217"/>
      <c r="K91" s="217"/>
      <c r="L91" s="217"/>
      <c r="M91" s="217"/>
      <c r="N91" s="217"/>
      <c r="O91" s="217"/>
      <c r="P91" s="217"/>
      <c r="Q91" s="217"/>
      <c r="R91" s="217"/>
      <c r="S91" s="217"/>
      <c r="T91" s="217"/>
      <c r="U91" s="20"/>
      <c r="V91" s="20"/>
    </row>
    <row r="92" spans="1:22" ht="11.25" customHeight="1" x14ac:dyDescent="0.25">
      <c r="A92" s="217"/>
      <c r="B92" s="217"/>
      <c r="C92" s="217"/>
      <c r="D92" s="217"/>
      <c r="E92" s="217"/>
      <c r="F92" s="217"/>
      <c r="G92" s="217"/>
      <c r="H92" s="217"/>
      <c r="I92" s="217"/>
      <c r="J92" s="217"/>
      <c r="K92" s="217"/>
      <c r="L92" s="217"/>
      <c r="M92" s="217"/>
      <c r="N92" s="217"/>
      <c r="O92" s="217"/>
      <c r="P92" s="217"/>
      <c r="Q92" s="217"/>
      <c r="R92" s="217"/>
      <c r="S92" s="217"/>
      <c r="T92" s="217"/>
      <c r="U92" s="20"/>
      <c r="V92" s="20"/>
    </row>
    <row r="93" spans="1:22" ht="11.25" customHeight="1" x14ac:dyDescent="0.25">
      <c r="A93" s="220" t="s">
        <v>57</v>
      </c>
      <c r="B93" s="221"/>
      <c r="C93" s="221"/>
      <c r="D93" s="221"/>
      <c r="E93" s="221"/>
      <c r="F93" s="221"/>
      <c r="G93" s="221"/>
      <c r="H93" s="221"/>
      <c r="I93" s="221"/>
      <c r="J93" s="221"/>
      <c r="K93" s="221"/>
      <c r="L93" s="221"/>
      <c r="M93" s="221"/>
      <c r="N93" s="221"/>
      <c r="O93" s="221"/>
      <c r="P93" s="221"/>
      <c r="Q93" s="63"/>
      <c r="R93" s="63"/>
      <c r="S93" s="63"/>
      <c r="T93" s="63"/>
      <c r="U93" s="20"/>
      <c r="V93" s="20"/>
    </row>
    <row r="94" spans="1:22" ht="11.25" customHeight="1" x14ac:dyDescent="0.25">
      <c r="A94" s="220" t="s">
        <v>0</v>
      </c>
      <c r="B94" s="221"/>
      <c r="C94" s="221"/>
      <c r="D94" s="221"/>
      <c r="E94" s="221"/>
      <c r="F94" s="221"/>
      <c r="G94" s="221"/>
      <c r="H94" s="221"/>
      <c r="I94" s="221"/>
      <c r="J94" s="221"/>
      <c r="K94" s="221"/>
      <c r="L94" s="221"/>
      <c r="M94" s="221"/>
      <c r="N94" s="221"/>
      <c r="O94" s="221"/>
      <c r="P94" s="221"/>
      <c r="Q94" s="63"/>
      <c r="R94" s="63"/>
      <c r="S94" s="63"/>
      <c r="T94" s="63"/>
      <c r="U94" s="63"/>
      <c r="V94" s="63"/>
    </row>
    <row r="95" spans="1:22" ht="11.25" customHeight="1" x14ac:dyDescent="0.25">
      <c r="A95" s="218"/>
      <c r="B95" s="219"/>
      <c r="C95" s="219"/>
      <c r="D95" s="219"/>
      <c r="E95" s="219"/>
      <c r="F95" s="219"/>
      <c r="G95" s="219"/>
      <c r="H95" s="219"/>
      <c r="I95" s="219"/>
      <c r="J95" s="219"/>
      <c r="K95" s="219"/>
      <c r="L95" s="219"/>
      <c r="M95" s="219"/>
      <c r="N95" s="219"/>
      <c r="O95" s="219"/>
      <c r="P95" s="219"/>
      <c r="Q95" s="65"/>
      <c r="R95" s="65"/>
      <c r="S95" s="65"/>
      <c r="T95" s="65"/>
      <c r="U95" s="63"/>
      <c r="V95" s="63"/>
    </row>
    <row r="96" spans="1:22" ht="11.25" customHeight="1" x14ac:dyDescent="0.25">
      <c r="A96" s="222" t="s">
        <v>143</v>
      </c>
      <c r="B96" s="221"/>
      <c r="C96" s="221"/>
      <c r="D96" s="221"/>
      <c r="E96" s="221"/>
      <c r="F96" s="221"/>
      <c r="G96" s="221"/>
      <c r="H96" s="221"/>
      <c r="I96" s="221"/>
      <c r="J96" s="221"/>
      <c r="K96" s="221"/>
      <c r="L96" s="221"/>
      <c r="M96" s="221"/>
      <c r="N96" s="221"/>
      <c r="O96" s="221"/>
      <c r="P96" s="221"/>
      <c r="Q96" s="63"/>
      <c r="R96" s="63"/>
      <c r="S96" s="63"/>
      <c r="T96" s="63"/>
      <c r="U96" s="64"/>
      <c r="V96" s="64"/>
    </row>
    <row r="97" spans="1:22" ht="11.25" customHeight="1" x14ac:dyDescent="0.25">
      <c r="A97" s="223"/>
      <c r="B97" s="224"/>
      <c r="C97" s="224"/>
      <c r="D97" s="224"/>
      <c r="E97" s="224"/>
      <c r="F97" s="224"/>
      <c r="G97" s="224"/>
      <c r="H97" s="224"/>
      <c r="I97" s="224"/>
      <c r="J97" s="224"/>
      <c r="K97" s="224"/>
      <c r="L97" s="224"/>
      <c r="M97" s="224"/>
      <c r="N97" s="224"/>
      <c r="O97" s="224"/>
      <c r="P97" s="224"/>
      <c r="Q97" s="65"/>
      <c r="R97" s="65"/>
      <c r="S97" s="65"/>
      <c r="T97" s="65"/>
      <c r="U97" s="64"/>
      <c r="V97" s="64"/>
    </row>
    <row r="98" spans="1:22" ht="11.25" customHeight="1" x14ac:dyDescent="0.25">
      <c r="A98" s="157"/>
      <c r="B98" s="157"/>
      <c r="C98" s="226" t="s">
        <v>66</v>
      </c>
      <c r="D98" s="235"/>
      <c r="E98" s="235"/>
      <c r="F98" s="235"/>
      <c r="G98" s="235"/>
      <c r="H98" s="235"/>
      <c r="I98" s="235"/>
      <c r="J98" s="235"/>
      <c r="K98" s="235"/>
      <c r="L98" s="235"/>
      <c r="M98" s="235"/>
      <c r="N98" s="235"/>
      <c r="O98" s="235"/>
      <c r="P98" s="235"/>
      <c r="Q98" s="26"/>
      <c r="R98" s="2"/>
      <c r="S98" s="154"/>
      <c r="T98" s="154"/>
      <c r="U98" s="154"/>
      <c r="V98" s="154"/>
    </row>
    <row r="99" spans="1:22" ht="11.25" customHeight="1" x14ac:dyDescent="0.25">
      <c r="A99" s="157"/>
      <c r="B99" s="157"/>
      <c r="C99" s="2"/>
      <c r="D99" s="2"/>
      <c r="E99" s="168" t="s">
        <v>162</v>
      </c>
      <c r="F99" s="2"/>
      <c r="G99" s="157"/>
      <c r="H99" s="157"/>
      <c r="I99" s="26" t="s">
        <v>136</v>
      </c>
      <c r="J99" s="157"/>
      <c r="K99" s="2"/>
      <c r="L99" s="157"/>
      <c r="M99" s="157"/>
      <c r="N99" s="2"/>
      <c r="O99" s="2"/>
      <c r="P99" s="157"/>
      <c r="Q99" s="2"/>
      <c r="R99" s="2"/>
      <c r="S99" s="154"/>
      <c r="T99" s="154"/>
      <c r="U99" s="20"/>
      <c r="V99" s="165"/>
    </row>
    <row r="100" spans="1:22" ht="11.1" customHeight="1" x14ac:dyDescent="0.25">
      <c r="A100" s="157"/>
      <c r="B100" s="157"/>
      <c r="C100" s="155"/>
      <c r="D100" s="157"/>
      <c r="E100" s="168" t="s">
        <v>163</v>
      </c>
      <c r="F100" s="157"/>
      <c r="G100" s="157"/>
      <c r="H100" s="157"/>
      <c r="I100" s="26" t="s">
        <v>137</v>
      </c>
      <c r="J100" s="157"/>
      <c r="K100" s="2" t="s">
        <v>67</v>
      </c>
      <c r="L100" s="157"/>
      <c r="M100" s="26"/>
      <c r="N100" s="157"/>
      <c r="O100" s="2"/>
      <c r="P100" s="157"/>
      <c r="Q100" s="154"/>
      <c r="R100" s="165"/>
      <c r="S100" s="7"/>
      <c r="T100" s="154"/>
      <c r="U100" s="154"/>
      <c r="V100" s="165"/>
    </row>
    <row r="101" spans="1:22" ht="11.1" customHeight="1" x14ac:dyDescent="0.25">
      <c r="A101" s="157"/>
      <c r="B101" s="157"/>
      <c r="C101" s="155" t="s">
        <v>68</v>
      </c>
      <c r="D101" s="157"/>
      <c r="E101" s="168" t="s">
        <v>164</v>
      </c>
      <c r="F101" s="157"/>
      <c r="G101" s="157"/>
      <c r="H101" s="157"/>
      <c r="I101" s="26" t="s">
        <v>138</v>
      </c>
      <c r="J101" s="157"/>
      <c r="K101" s="155" t="s">
        <v>145</v>
      </c>
      <c r="L101" s="157"/>
      <c r="M101" s="26" t="s">
        <v>69</v>
      </c>
      <c r="N101" s="157"/>
      <c r="O101" s="2"/>
      <c r="P101" s="157"/>
      <c r="Q101" s="154"/>
      <c r="R101" s="165"/>
      <c r="S101" s="7"/>
      <c r="T101" s="154"/>
      <c r="U101" s="154"/>
      <c r="V101" s="165"/>
    </row>
    <row r="102" spans="1:22" ht="11.25" customHeight="1" x14ac:dyDescent="0.25">
      <c r="A102" s="159" t="s">
        <v>15</v>
      </c>
      <c r="B102" s="159"/>
      <c r="C102" s="159" t="s">
        <v>70</v>
      </c>
      <c r="D102" s="158"/>
      <c r="E102" s="156" t="s">
        <v>71</v>
      </c>
      <c r="F102" s="158"/>
      <c r="G102" s="159" t="s">
        <v>72</v>
      </c>
      <c r="H102" s="21"/>
      <c r="I102" s="156" t="s">
        <v>19</v>
      </c>
      <c r="J102" s="21"/>
      <c r="K102" s="159" t="s">
        <v>144</v>
      </c>
      <c r="L102" s="158"/>
      <c r="M102" s="156" t="s">
        <v>73</v>
      </c>
      <c r="N102" s="21"/>
      <c r="O102" s="159" t="s">
        <v>74</v>
      </c>
      <c r="P102" s="158"/>
      <c r="Q102" s="20"/>
      <c r="R102" s="20"/>
      <c r="S102" s="7"/>
      <c r="T102" s="154"/>
      <c r="U102" s="154"/>
      <c r="V102" s="165"/>
    </row>
    <row r="103" spans="1:22" ht="11.25" customHeight="1" x14ac:dyDescent="0.25">
      <c r="A103" s="10" t="s">
        <v>23</v>
      </c>
      <c r="B103" s="157"/>
      <c r="C103" s="27">
        <v>11842</v>
      </c>
      <c r="D103" s="34"/>
      <c r="E103" s="51" t="s">
        <v>24</v>
      </c>
      <c r="F103" s="6"/>
      <c r="G103" s="29">
        <v>774</v>
      </c>
      <c r="H103" s="6"/>
      <c r="I103" s="39">
        <v>34050</v>
      </c>
      <c r="J103" s="6"/>
      <c r="K103" s="51" t="s">
        <v>24</v>
      </c>
      <c r="L103" s="31"/>
      <c r="M103" s="51" t="s">
        <v>24</v>
      </c>
      <c r="N103" s="31"/>
      <c r="O103" s="27">
        <v>1078</v>
      </c>
      <c r="P103" s="34"/>
      <c r="Q103" s="7"/>
      <c r="R103" s="15"/>
      <c r="S103" s="7"/>
      <c r="T103" s="20"/>
      <c r="U103" s="154"/>
      <c r="V103" s="165"/>
    </row>
    <row r="104" spans="1:22" ht="11.25" customHeight="1" x14ac:dyDescent="0.25">
      <c r="A104" s="10" t="s">
        <v>75</v>
      </c>
      <c r="B104" s="157"/>
      <c r="C104" s="27">
        <v>160</v>
      </c>
      <c r="D104" s="34"/>
      <c r="E104" s="51" t="s">
        <v>24</v>
      </c>
      <c r="F104" s="6"/>
      <c r="G104" s="51" t="s">
        <v>24</v>
      </c>
      <c r="H104" s="6"/>
      <c r="I104" s="51" t="s">
        <v>24</v>
      </c>
      <c r="J104" s="6"/>
      <c r="K104" s="51" t="s">
        <v>24</v>
      </c>
      <c r="L104" s="31"/>
      <c r="M104" s="51" t="s">
        <v>24</v>
      </c>
      <c r="N104" s="31"/>
      <c r="O104" s="51" t="s">
        <v>24</v>
      </c>
      <c r="P104" s="34"/>
      <c r="Q104" s="7"/>
      <c r="R104" s="15"/>
      <c r="S104" s="7"/>
      <c r="T104" s="15"/>
      <c r="U104" s="7"/>
      <c r="V104" s="165"/>
    </row>
    <row r="105" spans="1:22" ht="11.25" customHeight="1" x14ac:dyDescent="0.25">
      <c r="A105" s="10" t="s">
        <v>26</v>
      </c>
      <c r="B105" s="157"/>
      <c r="C105" s="51" t="s">
        <v>24</v>
      </c>
      <c r="D105" s="34"/>
      <c r="E105" s="51" t="s">
        <v>24</v>
      </c>
      <c r="F105" s="6"/>
      <c r="G105" s="51" t="s">
        <v>24</v>
      </c>
      <c r="H105" s="6"/>
      <c r="I105" s="51" t="s">
        <v>24</v>
      </c>
      <c r="J105" s="6"/>
      <c r="K105" s="51" t="s">
        <v>24</v>
      </c>
      <c r="L105" s="31"/>
      <c r="M105" s="51" t="s">
        <v>24</v>
      </c>
      <c r="N105" s="31"/>
      <c r="O105" s="51" t="s">
        <v>24</v>
      </c>
      <c r="P105" s="34"/>
      <c r="Q105" s="7"/>
      <c r="R105" s="15"/>
      <c r="S105" s="7"/>
      <c r="T105" s="15"/>
      <c r="U105" s="7"/>
      <c r="V105" s="165"/>
    </row>
    <row r="106" spans="1:22" ht="11.25" customHeight="1" x14ac:dyDescent="0.25">
      <c r="A106" s="10" t="s">
        <v>27</v>
      </c>
      <c r="B106" s="157"/>
      <c r="C106" s="27">
        <v>3650</v>
      </c>
      <c r="D106" s="34" t="s">
        <v>25</v>
      </c>
      <c r="E106" s="51" t="s">
        <v>24</v>
      </c>
      <c r="F106" s="6"/>
      <c r="G106" s="27">
        <v>1</v>
      </c>
      <c r="H106" s="6"/>
      <c r="I106" s="51" t="s">
        <v>24</v>
      </c>
      <c r="J106" s="6"/>
      <c r="K106" s="51" t="s">
        <v>24</v>
      </c>
      <c r="L106" s="31"/>
      <c r="M106" s="51" t="s">
        <v>24</v>
      </c>
      <c r="N106" s="31"/>
      <c r="O106" s="27">
        <v>5</v>
      </c>
      <c r="P106" s="34"/>
      <c r="Q106" s="7"/>
      <c r="R106" s="15"/>
      <c r="S106" s="7"/>
      <c r="T106" s="15"/>
      <c r="U106" s="7"/>
      <c r="V106" s="165"/>
    </row>
    <row r="107" spans="1:22" ht="11.25" customHeight="1" x14ac:dyDescent="0.25">
      <c r="A107" s="10" t="s">
        <v>28</v>
      </c>
      <c r="B107" s="157"/>
      <c r="C107" s="27">
        <v>53553</v>
      </c>
      <c r="D107" s="34"/>
      <c r="E107" s="39">
        <v>251</v>
      </c>
      <c r="F107" s="6"/>
      <c r="G107" s="27">
        <v>3000</v>
      </c>
      <c r="H107" s="34" t="s">
        <v>25</v>
      </c>
      <c r="I107" s="39">
        <v>1482</v>
      </c>
      <c r="J107" s="6"/>
      <c r="K107" s="27">
        <v>2000</v>
      </c>
      <c r="L107" s="34" t="s">
        <v>25</v>
      </c>
      <c r="M107" s="39">
        <v>201</v>
      </c>
      <c r="N107" s="31"/>
      <c r="O107" s="27">
        <v>7400</v>
      </c>
      <c r="P107" s="34"/>
      <c r="Q107" s="7"/>
      <c r="R107" s="15"/>
      <c r="S107" s="7"/>
      <c r="T107" s="15"/>
      <c r="U107" s="7"/>
      <c r="V107" s="165"/>
    </row>
    <row r="108" spans="1:22" ht="11.25" customHeight="1" x14ac:dyDescent="0.25">
      <c r="A108" s="10" t="s">
        <v>29</v>
      </c>
      <c r="B108" s="157"/>
      <c r="C108" s="27">
        <v>13554</v>
      </c>
      <c r="D108" s="31"/>
      <c r="E108" s="39">
        <v>23194</v>
      </c>
      <c r="F108" s="157"/>
      <c r="G108" s="27">
        <v>2997</v>
      </c>
      <c r="H108" s="157"/>
      <c r="I108" s="51" t="s">
        <v>24</v>
      </c>
      <c r="J108" s="157"/>
      <c r="K108" s="51" t="s">
        <v>24</v>
      </c>
      <c r="L108" s="31"/>
      <c r="M108" s="52">
        <v>13835</v>
      </c>
      <c r="N108" s="31"/>
      <c r="O108" s="27">
        <v>10568</v>
      </c>
      <c r="P108" s="53"/>
      <c r="Q108" s="7"/>
      <c r="R108" s="165"/>
      <c r="S108" s="7"/>
      <c r="T108" s="15"/>
      <c r="U108" s="7"/>
      <c r="V108" s="15"/>
    </row>
    <row r="109" spans="1:22" ht="11.25" customHeight="1" x14ac:dyDescent="0.25">
      <c r="A109" s="10" t="s">
        <v>30</v>
      </c>
      <c r="B109" s="157"/>
      <c r="C109" s="27">
        <v>4300</v>
      </c>
      <c r="D109" s="34"/>
      <c r="E109" s="51" t="s">
        <v>24</v>
      </c>
      <c r="F109" s="6"/>
      <c r="G109" s="27">
        <v>909</v>
      </c>
      <c r="H109" s="8"/>
      <c r="I109" s="39">
        <v>96029</v>
      </c>
      <c r="J109" s="8"/>
      <c r="K109" s="27">
        <v>4</v>
      </c>
      <c r="L109" s="34"/>
      <c r="M109" s="39">
        <v>1200</v>
      </c>
      <c r="N109" s="31"/>
      <c r="O109" s="27">
        <v>10012</v>
      </c>
      <c r="P109" s="25"/>
      <c r="Q109" s="7"/>
      <c r="R109" s="17"/>
      <c r="S109" s="7"/>
      <c r="T109" s="15"/>
      <c r="U109" s="7"/>
      <c r="V109" s="165"/>
    </row>
    <row r="110" spans="1:22" ht="11.25" customHeight="1" x14ac:dyDescent="0.25">
      <c r="A110" s="10" t="s">
        <v>31</v>
      </c>
      <c r="B110" s="157"/>
      <c r="C110" s="27">
        <v>12452</v>
      </c>
      <c r="D110" s="34"/>
      <c r="E110" s="51" t="s">
        <v>24</v>
      </c>
      <c r="F110" s="6"/>
      <c r="G110" s="51" t="s">
        <v>24</v>
      </c>
      <c r="H110" s="6"/>
      <c r="I110" s="51" t="s">
        <v>24</v>
      </c>
      <c r="J110" s="6"/>
      <c r="K110" s="27">
        <v>15</v>
      </c>
      <c r="L110" s="34" t="s">
        <v>25</v>
      </c>
      <c r="M110" s="51" t="s">
        <v>24</v>
      </c>
      <c r="N110" s="31"/>
      <c r="O110" s="27">
        <v>561</v>
      </c>
      <c r="P110" s="41"/>
      <c r="Q110" s="7"/>
      <c r="R110" s="16"/>
      <c r="S110" s="7"/>
      <c r="T110" s="22"/>
      <c r="U110" s="7"/>
      <c r="V110" s="165"/>
    </row>
    <row r="111" spans="1:22" ht="11.25" customHeight="1" x14ac:dyDescent="0.25">
      <c r="A111" s="10" t="s">
        <v>32</v>
      </c>
      <c r="B111" s="157"/>
      <c r="C111" s="27">
        <v>1900</v>
      </c>
      <c r="D111" s="34" t="s">
        <v>25</v>
      </c>
      <c r="E111" s="51" t="s">
        <v>24</v>
      </c>
      <c r="F111" s="6"/>
      <c r="G111" s="51" t="s">
        <v>24</v>
      </c>
      <c r="H111" s="8"/>
      <c r="I111" s="51" t="s">
        <v>24</v>
      </c>
      <c r="J111" s="8"/>
      <c r="K111" s="51" t="s">
        <v>24</v>
      </c>
      <c r="L111" s="31"/>
      <c r="M111" s="51" t="s">
        <v>24</v>
      </c>
      <c r="N111" s="31"/>
      <c r="O111" s="51" t="s">
        <v>24</v>
      </c>
      <c r="P111" s="34"/>
      <c r="Q111" s="7"/>
      <c r="R111" s="15"/>
      <c r="S111" s="7"/>
      <c r="T111" s="17"/>
      <c r="U111" s="7"/>
      <c r="V111" s="165"/>
    </row>
    <row r="112" spans="1:22" ht="11.25" customHeight="1" x14ac:dyDescent="0.25">
      <c r="A112" s="10" t="s">
        <v>33</v>
      </c>
      <c r="B112" s="157"/>
      <c r="C112" s="27">
        <v>1590</v>
      </c>
      <c r="D112" s="31"/>
      <c r="E112" s="51" t="s">
        <v>24</v>
      </c>
      <c r="F112" s="157"/>
      <c r="G112" s="27">
        <v>100</v>
      </c>
      <c r="H112" s="6"/>
      <c r="I112" s="51" t="s">
        <v>24</v>
      </c>
      <c r="J112" s="6"/>
      <c r="K112" s="51" t="s">
        <v>24</v>
      </c>
      <c r="L112" s="31"/>
      <c r="M112" s="51" t="s">
        <v>24</v>
      </c>
      <c r="N112" s="31"/>
      <c r="O112" s="27">
        <v>193</v>
      </c>
      <c r="P112" s="34"/>
      <c r="Q112" s="7"/>
      <c r="R112" s="15"/>
      <c r="S112" s="7"/>
      <c r="T112" s="15"/>
      <c r="U112" s="7"/>
      <c r="V112" s="165"/>
    </row>
    <row r="113" spans="1:22" ht="11.25" customHeight="1" x14ac:dyDescent="0.25">
      <c r="A113" s="10" t="s">
        <v>34</v>
      </c>
      <c r="B113" s="157"/>
      <c r="C113" s="27">
        <v>5430</v>
      </c>
      <c r="D113" s="34"/>
      <c r="E113" s="51" t="s">
        <v>24</v>
      </c>
      <c r="F113" s="6"/>
      <c r="G113" s="27">
        <v>130</v>
      </c>
      <c r="H113" s="6"/>
      <c r="I113" s="51" t="s">
        <v>24</v>
      </c>
      <c r="J113" s="6"/>
      <c r="K113" s="51" t="s">
        <v>24</v>
      </c>
      <c r="L113" s="31"/>
      <c r="M113" s="51" t="s">
        <v>24</v>
      </c>
      <c r="N113" s="31"/>
      <c r="O113" s="51" t="s">
        <v>24</v>
      </c>
      <c r="P113" s="34"/>
      <c r="Q113" s="7"/>
      <c r="R113" s="15"/>
      <c r="S113" s="7"/>
      <c r="T113" s="17"/>
      <c r="U113" s="7"/>
      <c r="V113" s="165"/>
    </row>
    <row r="114" spans="1:22" ht="11.25" customHeight="1" x14ac:dyDescent="0.25">
      <c r="A114" s="10" t="s">
        <v>35</v>
      </c>
      <c r="B114" s="157"/>
      <c r="C114" s="27">
        <v>5800</v>
      </c>
      <c r="D114" s="34"/>
      <c r="E114" s="51" t="s">
        <v>24</v>
      </c>
      <c r="F114" s="6"/>
      <c r="G114" s="51" t="s">
        <v>24</v>
      </c>
      <c r="H114" s="4"/>
      <c r="I114" s="51" t="s">
        <v>24</v>
      </c>
      <c r="J114" s="4"/>
      <c r="K114" s="51" t="s">
        <v>24</v>
      </c>
      <c r="L114" s="31"/>
      <c r="M114" s="51" t="s">
        <v>24</v>
      </c>
      <c r="N114" s="31"/>
      <c r="O114" s="51" t="s">
        <v>24</v>
      </c>
      <c r="P114" s="41"/>
      <c r="Q114" s="7"/>
      <c r="R114" s="16"/>
      <c r="S114" s="7"/>
      <c r="T114" s="16"/>
      <c r="U114" s="7"/>
      <c r="V114" s="165"/>
    </row>
    <row r="115" spans="1:22" ht="11.25" customHeight="1" x14ac:dyDescent="0.25">
      <c r="A115" s="10" t="s">
        <v>36</v>
      </c>
      <c r="B115" s="157"/>
      <c r="C115" s="27">
        <v>1000</v>
      </c>
      <c r="D115" s="34" t="s">
        <v>25</v>
      </c>
      <c r="E115" s="51" t="s">
        <v>24</v>
      </c>
      <c r="F115" s="6"/>
      <c r="G115" s="51" t="s">
        <v>24</v>
      </c>
      <c r="H115" s="6"/>
      <c r="I115" s="51" t="s">
        <v>24</v>
      </c>
      <c r="J115" s="6"/>
      <c r="K115" s="51" t="s">
        <v>24</v>
      </c>
      <c r="L115" s="31"/>
      <c r="M115" s="51" t="s">
        <v>24</v>
      </c>
      <c r="N115" s="31"/>
      <c r="O115" s="51" t="s">
        <v>24</v>
      </c>
      <c r="P115" s="34"/>
      <c r="Q115" s="7"/>
      <c r="R115" s="15"/>
      <c r="S115" s="7"/>
      <c r="T115" s="17"/>
      <c r="U115" s="7"/>
      <c r="V115" s="165"/>
    </row>
    <row r="116" spans="1:22" ht="11.25" customHeight="1" x14ac:dyDescent="0.25">
      <c r="A116" s="10" t="s">
        <v>37</v>
      </c>
      <c r="B116" s="157"/>
      <c r="C116" s="27">
        <v>80</v>
      </c>
      <c r="D116" s="34" t="s">
        <v>25</v>
      </c>
      <c r="E116" s="51" t="s">
        <v>24</v>
      </c>
      <c r="F116" s="12"/>
      <c r="G116" s="51" t="s">
        <v>24</v>
      </c>
      <c r="H116" s="8"/>
      <c r="I116" s="51" t="s">
        <v>24</v>
      </c>
      <c r="J116" s="8"/>
      <c r="K116" s="51" t="s">
        <v>24</v>
      </c>
      <c r="L116" s="31"/>
      <c r="M116" s="51" t="s">
        <v>24</v>
      </c>
      <c r="N116" s="31"/>
      <c r="O116" s="51" t="s">
        <v>24</v>
      </c>
      <c r="P116" s="25"/>
      <c r="Q116" s="7"/>
      <c r="R116" s="17"/>
      <c r="S116" s="7"/>
      <c r="T116" s="15"/>
      <c r="U116" s="7"/>
      <c r="V116" s="165"/>
    </row>
    <row r="117" spans="1:22" ht="11.25" customHeight="1" x14ac:dyDescent="0.25">
      <c r="A117" s="10" t="s">
        <v>76</v>
      </c>
      <c r="B117" s="157"/>
      <c r="C117" s="27">
        <v>310</v>
      </c>
      <c r="D117" s="34" t="s">
        <v>25</v>
      </c>
      <c r="E117" s="51" t="s">
        <v>24</v>
      </c>
      <c r="F117" s="6"/>
      <c r="G117" s="51" t="s">
        <v>24</v>
      </c>
      <c r="H117" s="6"/>
      <c r="I117" s="51" t="s">
        <v>24</v>
      </c>
      <c r="J117" s="6"/>
      <c r="K117" s="51" t="s">
        <v>24</v>
      </c>
      <c r="L117" s="31"/>
      <c r="M117" s="51" t="s">
        <v>24</v>
      </c>
      <c r="N117" s="31"/>
      <c r="O117" s="51" t="s">
        <v>24</v>
      </c>
      <c r="P117" s="34"/>
      <c r="Q117" s="7"/>
      <c r="R117" s="15"/>
      <c r="S117" s="7"/>
      <c r="T117" s="17"/>
      <c r="U117" s="7"/>
      <c r="V117" s="165"/>
    </row>
    <row r="118" spans="1:22" ht="11.25" customHeight="1" x14ac:dyDescent="0.25">
      <c r="A118" s="10" t="s">
        <v>38</v>
      </c>
      <c r="B118" s="157"/>
      <c r="C118" s="27">
        <v>3800</v>
      </c>
      <c r="D118" s="34" t="s">
        <v>25</v>
      </c>
      <c r="E118" s="51" t="s">
        <v>24</v>
      </c>
      <c r="F118" s="6"/>
      <c r="G118" s="27">
        <v>133</v>
      </c>
      <c r="H118" s="6"/>
      <c r="I118" s="51" t="s">
        <v>24</v>
      </c>
      <c r="J118" s="6"/>
      <c r="K118" s="51" t="s">
        <v>24</v>
      </c>
      <c r="L118" s="31"/>
      <c r="M118" s="51" t="s">
        <v>24</v>
      </c>
      <c r="N118" s="31"/>
      <c r="O118" s="51" t="s">
        <v>24</v>
      </c>
      <c r="P118" s="34"/>
      <c r="Q118" s="7"/>
      <c r="R118" s="15"/>
      <c r="S118" s="7"/>
      <c r="T118" s="17"/>
      <c r="U118" s="7"/>
      <c r="V118" s="165"/>
    </row>
    <row r="119" spans="1:22" ht="11.25" customHeight="1" x14ac:dyDescent="0.25">
      <c r="A119" s="10" t="s">
        <v>39</v>
      </c>
      <c r="B119" s="157"/>
      <c r="C119" s="27">
        <v>410</v>
      </c>
      <c r="D119" s="34" t="s">
        <v>25</v>
      </c>
      <c r="E119" s="54">
        <v>62</v>
      </c>
      <c r="F119" s="6"/>
      <c r="G119" s="51" t="s">
        <v>24</v>
      </c>
      <c r="H119" s="13"/>
      <c r="I119" s="51" t="s">
        <v>24</v>
      </c>
      <c r="J119" s="13"/>
      <c r="K119" s="51" t="s">
        <v>24</v>
      </c>
      <c r="L119" s="31"/>
      <c r="M119" s="51" t="s">
        <v>24</v>
      </c>
      <c r="N119" s="31"/>
      <c r="O119" s="51" t="s">
        <v>24</v>
      </c>
      <c r="P119" s="25"/>
      <c r="Q119" s="7"/>
      <c r="R119" s="17"/>
      <c r="S119" s="7"/>
      <c r="T119" s="15"/>
      <c r="U119" s="7"/>
      <c r="V119" s="165"/>
    </row>
    <row r="120" spans="1:22" ht="11.25" customHeight="1" x14ac:dyDescent="0.25">
      <c r="A120" s="10" t="s">
        <v>77</v>
      </c>
      <c r="B120" s="157"/>
      <c r="C120" s="27">
        <v>200</v>
      </c>
      <c r="D120" s="34" t="s">
        <v>25</v>
      </c>
      <c r="E120" s="51" t="s">
        <v>24</v>
      </c>
      <c r="F120" s="6"/>
      <c r="G120" s="51" t="s">
        <v>24</v>
      </c>
      <c r="H120" s="6"/>
      <c r="I120" s="51" t="s">
        <v>24</v>
      </c>
      <c r="J120" s="6"/>
      <c r="K120" s="51" t="s">
        <v>24</v>
      </c>
      <c r="L120" s="31"/>
      <c r="M120" s="51" t="s">
        <v>24</v>
      </c>
      <c r="N120" s="31"/>
      <c r="O120" s="51" t="s">
        <v>24</v>
      </c>
      <c r="P120" s="34"/>
      <c r="Q120" s="7"/>
      <c r="R120" s="15"/>
      <c r="S120" s="7"/>
      <c r="T120" s="15"/>
      <c r="U120" s="7"/>
      <c r="V120" s="165"/>
    </row>
    <row r="121" spans="1:22" ht="11.25" customHeight="1" x14ac:dyDescent="0.25">
      <c r="A121" s="10" t="s">
        <v>40</v>
      </c>
      <c r="B121" s="157"/>
      <c r="C121" s="27">
        <v>1800</v>
      </c>
      <c r="D121" s="34" t="s">
        <v>25</v>
      </c>
      <c r="E121" s="51" t="s">
        <v>24</v>
      </c>
      <c r="F121" s="6"/>
      <c r="G121" s="51" t="s">
        <v>24</v>
      </c>
      <c r="H121" s="6"/>
      <c r="I121" s="51" t="s">
        <v>24</v>
      </c>
      <c r="J121" s="6"/>
      <c r="K121" s="51" t="s">
        <v>24</v>
      </c>
      <c r="L121" s="31"/>
      <c r="M121" s="51" t="s">
        <v>24</v>
      </c>
      <c r="N121" s="31"/>
      <c r="O121" s="51" t="s">
        <v>24</v>
      </c>
      <c r="P121" s="34"/>
      <c r="Q121" s="7"/>
      <c r="R121" s="15"/>
      <c r="S121" s="7"/>
      <c r="T121" s="17"/>
      <c r="U121" s="7"/>
      <c r="V121" s="165"/>
    </row>
    <row r="122" spans="1:22" ht="11.25" customHeight="1" x14ac:dyDescent="0.25">
      <c r="A122" s="10" t="s">
        <v>41</v>
      </c>
      <c r="B122" s="157"/>
      <c r="C122" s="27">
        <v>930</v>
      </c>
      <c r="D122" s="34" t="s">
        <v>25</v>
      </c>
      <c r="E122" s="51" t="s">
        <v>24</v>
      </c>
      <c r="F122" s="6"/>
      <c r="G122" s="27">
        <v>50</v>
      </c>
      <c r="H122" s="34" t="s">
        <v>25</v>
      </c>
      <c r="I122" s="51" t="s">
        <v>24</v>
      </c>
      <c r="J122" s="6"/>
      <c r="K122" s="51" t="s">
        <v>24</v>
      </c>
      <c r="L122" s="31"/>
      <c r="M122" s="51" t="s">
        <v>24</v>
      </c>
      <c r="N122" s="31"/>
      <c r="O122" s="51" t="s">
        <v>24</v>
      </c>
      <c r="P122" s="34"/>
      <c r="Q122" s="7"/>
      <c r="R122" s="15"/>
      <c r="S122" s="7"/>
      <c r="T122" s="17"/>
      <c r="U122" s="7"/>
      <c r="V122" s="165"/>
    </row>
    <row r="123" spans="1:22" ht="11.25" customHeight="1" x14ac:dyDescent="0.25">
      <c r="A123" s="10" t="s">
        <v>78</v>
      </c>
      <c r="B123" s="157"/>
      <c r="C123" s="27">
        <v>150</v>
      </c>
      <c r="D123" s="34" t="s">
        <v>25</v>
      </c>
      <c r="E123" s="51" t="s">
        <v>24</v>
      </c>
      <c r="F123" s="6"/>
      <c r="G123" s="51" t="s">
        <v>24</v>
      </c>
      <c r="H123" s="6"/>
      <c r="I123" s="51" t="s">
        <v>24</v>
      </c>
      <c r="J123" s="6"/>
      <c r="K123" s="51" t="s">
        <v>24</v>
      </c>
      <c r="L123" s="31"/>
      <c r="M123" s="51" t="s">
        <v>24</v>
      </c>
      <c r="N123" s="31"/>
      <c r="O123" s="51" t="s">
        <v>24</v>
      </c>
      <c r="P123" s="34"/>
      <c r="Q123" s="7"/>
      <c r="R123" s="15"/>
      <c r="S123" s="7"/>
      <c r="T123" s="17"/>
      <c r="U123" s="7"/>
      <c r="V123" s="165"/>
    </row>
    <row r="124" spans="1:22" ht="11.25" customHeight="1" x14ac:dyDescent="0.25">
      <c r="A124" s="10" t="s">
        <v>42</v>
      </c>
      <c r="B124" s="157"/>
      <c r="C124" s="27">
        <v>48328</v>
      </c>
      <c r="D124" s="34"/>
      <c r="E124" s="51" t="s">
        <v>24</v>
      </c>
      <c r="F124" s="12"/>
      <c r="G124" s="27">
        <v>5400</v>
      </c>
      <c r="H124" s="34" t="s">
        <v>25</v>
      </c>
      <c r="I124" s="51" t="s">
        <v>24</v>
      </c>
      <c r="J124" s="6"/>
      <c r="K124" s="27">
        <v>460</v>
      </c>
      <c r="L124" s="31" t="s">
        <v>25</v>
      </c>
      <c r="M124" s="51" t="s">
        <v>24</v>
      </c>
      <c r="N124" s="31"/>
      <c r="O124" s="27">
        <v>9000</v>
      </c>
      <c r="P124" s="41" t="s">
        <v>25</v>
      </c>
      <c r="Q124" s="7"/>
      <c r="R124" s="17"/>
      <c r="S124" s="7"/>
      <c r="T124" s="17"/>
      <c r="U124" s="7"/>
      <c r="V124" s="165"/>
    </row>
    <row r="125" spans="1:22" ht="11.25" customHeight="1" x14ac:dyDescent="0.25">
      <c r="A125" s="10" t="s">
        <v>43</v>
      </c>
      <c r="B125" s="157"/>
      <c r="C125" s="27">
        <v>910</v>
      </c>
      <c r="D125" s="34" t="s">
        <v>25</v>
      </c>
      <c r="E125" s="51" t="s">
        <v>24</v>
      </c>
      <c r="F125" s="6"/>
      <c r="G125" s="27">
        <v>70</v>
      </c>
      <c r="H125" s="6"/>
      <c r="I125" s="51" t="s">
        <v>24</v>
      </c>
      <c r="J125" s="6"/>
      <c r="K125" s="51" t="s">
        <v>24</v>
      </c>
      <c r="L125" s="31"/>
      <c r="M125" s="51" t="s">
        <v>24</v>
      </c>
      <c r="N125" s="31"/>
      <c r="O125" s="51" t="s">
        <v>24</v>
      </c>
      <c r="P125" s="34"/>
      <c r="Q125" s="7"/>
      <c r="R125" s="15"/>
      <c r="S125" s="7"/>
      <c r="T125" s="15"/>
      <c r="U125" s="7"/>
      <c r="V125" s="165"/>
    </row>
    <row r="126" spans="1:22" ht="11.25" customHeight="1" x14ac:dyDescent="0.25">
      <c r="A126" s="10" t="s">
        <v>44</v>
      </c>
      <c r="B126" s="157"/>
      <c r="C126" s="27">
        <v>2000</v>
      </c>
      <c r="D126" s="34" t="s">
        <v>25</v>
      </c>
      <c r="E126" s="51" t="s">
        <v>24</v>
      </c>
      <c r="F126" s="6"/>
      <c r="G126" s="51" t="s">
        <v>24</v>
      </c>
      <c r="H126" s="8"/>
      <c r="I126" s="51" t="s">
        <v>24</v>
      </c>
      <c r="J126" s="8"/>
      <c r="K126" s="51" t="s">
        <v>24</v>
      </c>
      <c r="L126" s="31"/>
      <c r="M126" s="51" t="s">
        <v>24</v>
      </c>
      <c r="N126" s="31"/>
      <c r="O126" s="27">
        <v>38</v>
      </c>
      <c r="P126" s="34"/>
      <c r="Q126" s="7"/>
      <c r="R126" s="165"/>
      <c r="S126" s="7"/>
      <c r="T126" s="15"/>
      <c r="U126" s="7"/>
      <c r="V126" s="165"/>
    </row>
    <row r="127" spans="1:22" ht="11.25" customHeight="1" x14ac:dyDescent="0.25">
      <c r="A127" s="10" t="s">
        <v>45</v>
      </c>
      <c r="B127" s="157"/>
      <c r="C127" s="27">
        <v>1400</v>
      </c>
      <c r="D127" s="34" t="s">
        <v>25</v>
      </c>
      <c r="E127" s="51" t="s">
        <v>24</v>
      </c>
      <c r="F127" s="6"/>
      <c r="G127" s="51" t="s">
        <v>24</v>
      </c>
      <c r="H127" s="6"/>
      <c r="I127" s="51" t="s">
        <v>24</v>
      </c>
      <c r="J127" s="6"/>
      <c r="K127" s="51" t="s">
        <v>24</v>
      </c>
      <c r="L127" s="31"/>
      <c r="M127" s="51" t="s">
        <v>24</v>
      </c>
      <c r="N127" s="31"/>
      <c r="O127" s="51" t="s">
        <v>24</v>
      </c>
      <c r="P127" s="25"/>
      <c r="Q127" s="7"/>
      <c r="R127" s="17"/>
      <c r="S127" s="7"/>
      <c r="T127" s="17"/>
      <c r="U127" s="7"/>
      <c r="V127" s="165"/>
    </row>
    <row r="128" spans="1:22" ht="11.25" customHeight="1" x14ac:dyDescent="0.25">
      <c r="A128" s="10" t="s">
        <v>46</v>
      </c>
      <c r="B128" s="157"/>
      <c r="C128" s="27">
        <v>10049</v>
      </c>
      <c r="D128" s="34"/>
      <c r="E128" s="51" t="s">
        <v>24</v>
      </c>
      <c r="F128" s="6"/>
      <c r="G128" s="27">
        <v>456</v>
      </c>
      <c r="H128" s="6"/>
      <c r="I128" s="51" t="s">
        <v>24</v>
      </c>
      <c r="J128" s="6"/>
      <c r="K128" s="27">
        <v>1200</v>
      </c>
      <c r="L128" s="31" t="s">
        <v>25</v>
      </c>
      <c r="M128" s="51" t="s">
        <v>24</v>
      </c>
      <c r="N128" s="31"/>
      <c r="O128" s="27">
        <v>1510</v>
      </c>
      <c r="P128" s="34"/>
      <c r="Q128" s="7"/>
      <c r="R128" s="15"/>
      <c r="S128" s="7"/>
      <c r="T128" s="17"/>
      <c r="U128" s="7"/>
      <c r="V128" s="165"/>
    </row>
    <row r="129" spans="1:22" ht="11.25" customHeight="1" x14ac:dyDescent="0.25">
      <c r="A129" s="10" t="s">
        <v>47</v>
      </c>
      <c r="B129" s="157"/>
      <c r="C129" s="27">
        <v>30</v>
      </c>
      <c r="D129" s="34" t="s">
        <v>25</v>
      </c>
      <c r="E129" s="51" t="s">
        <v>24</v>
      </c>
      <c r="F129" s="6"/>
      <c r="G129" s="51" t="s">
        <v>24</v>
      </c>
      <c r="H129" s="8"/>
      <c r="I129" s="51" t="s">
        <v>24</v>
      </c>
      <c r="J129" s="8"/>
      <c r="K129" s="51" t="s">
        <v>24</v>
      </c>
      <c r="L129" s="31"/>
      <c r="M129" s="51" t="s">
        <v>24</v>
      </c>
      <c r="N129" s="31"/>
      <c r="O129" s="51" t="s">
        <v>24</v>
      </c>
      <c r="P129" s="25"/>
      <c r="Q129" s="7"/>
      <c r="R129" s="17"/>
      <c r="S129" s="7"/>
      <c r="T129" s="17"/>
      <c r="U129" s="7"/>
      <c r="V129" s="165"/>
    </row>
    <row r="130" spans="1:22" ht="11.25" customHeight="1" x14ac:dyDescent="0.25">
      <c r="A130" s="10" t="s">
        <v>48</v>
      </c>
      <c r="B130" s="157"/>
      <c r="C130" s="27">
        <v>663</v>
      </c>
      <c r="D130" s="34"/>
      <c r="E130" s="51" t="s">
        <v>24</v>
      </c>
      <c r="F130" s="6"/>
      <c r="G130" s="51" t="s">
        <v>24</v>
      </c>
      <c r="H130" s="8"/>
      <c r="I130" s="51" t="s">
        <v>24</v>
      </c>
      <c r="J130" s="8"/>
      <c r="K130" s="51" t="s">
        <v>24</v>
      </c>
      <c r="L130" s="31"/>
      <c r="M130" s="51" t="s">
        <v>24</v>
      </c>
      <c r="N130" s="31"/>
      <c r="O130" s="51" t="s">
        <v>24</v>
      </c>
      <c r="P130" s="25"/>
      <c r="Q130" s="7"/>
      <c r="R130" s="17"/>
      <c r="S130" s="7"/>
      <c r="T130" s="23"/>
      <c r="U130" s="7"/>
      <c r="V130" s="165"/>
    </row>
    <row r="131" spans="1:22" ht="11.25" customHeight="1" x14ac:dyDescent="0.25">
      <c r="A131" s="10" t="s">
        <v>49</v>
      </c>
      <c r="B131" s="157"/>
      <c r="C131" s="27">
        <v>812</v>
      </c>
      <c r="D131" s="34"/>
      <c r="E131" s="51" t="s">
        <v>24</v>
      </c>
      <c r="F131" s="6"/>
      <c r="G131" s="51" t="s">
        <v>24</v>
      </c>
      <c r="H131" s="6"/>
      <c r="I131" s="51" t="s">
        <v>24</v>
      </c>
      <c r="J131" s="6"/>
      <c r="K131" s="51" t="s">
        <v>24</v>
      </c>
      <c r="L131" s="31"/>
      <c r="M131" s="51" t="s">
        <v>24</v>
      </c>
      <c r="N131" s="31"/>
      <c r="O131" s="51" t="s">
        <v>24</v>
      </c>
      <c r="P131" s="25"/>
      <c r="Q131" s="7"/>
      <c r="R131" s="17"/>
      <c r="S131" s="7"/>
      <c r="T131" s="17"/>
      <c r="U131" s="7"/>
      <c r="V131" s="165"/>
    </row>
    <row r="132" spans="1:22" ht="11.25" customHeight="1" x14ac:dyDescent="0.25">
      <c r="A132" s="10" t="s">
        <v>50</v>
      </c>
      <c r="B132" s="157"/>
      <c r="C132" s="44">
        <v>7000</v>
      </c>
      <c r="D132" s="45" t="s">
        <v>25</v>
      </c>
      <c r="E132" s="55" t="s">
        <v>24</v>
      </c>
      <c r="F132" s="5"/>
      <c r="G132" s="55" t="s">
        <v>24</v>
      </c>
      <c r="H132" s="5"/>
      <c r="I132" s="55" t="s">
        <v>24</v>
      </c>
      <c r="J132" s="5"/>
      <c r="K132" s="44">
        <v>6</v>
      </c>
      <c r="L132" s="45" t="s">
        <v>25</v>
      </c>
      <c r="M132" s="55" t="s">
        <v>24</v>
      </c>
      <c r="N132" s="50"/>
      <c r="O132" s="55" t="s">
        <v>24</v>
      </c>
      <c r="P132" s="45"/>
      <c r="Q132" s="7"/>
      <c r="R132" s="15"/>
      <c r="S132" s="7"/>
      <c r="T132" s="15"/>
      <c r="U132" s="7"/>
      <c r="V132" s="165"/>
    </row>
    <row r="133" spans="1:22" ht="11.25" customHeight="1" x14ac:dyDescent="0.25">
      <c r="A133" s="24" t="s">
        <v>51</v>
      </c>
      <c r="B133" s="56"/>
      <c r="C133" s="1">
        <v>194000</v>
      </c>
      <c r="D133" s="15" t="s">
        <v>25</v>
      </c>
      <c r="E133" s="1">
        <v>23507</v>
      </c>
      <c r="F133" s="157"/>
      <c r="G133" s="1">
        <v>14000</v>
      </c>
      <c r="H133" s="15" t="s">
        <v>25</v>
      </c>
      <c r="I133" s="1">
        <v>131561</v>
      </c>
      <c r="J133" s="4"/>
      <c r="K133" s="1">
        <v>3700</v>
      </c>
      <c r="L133" s="15" t="s">
        <v>25</v>
      </c>
      <c r="M133" s="1">
        <v>15236</v>
      </c>
      <c r="N133" s="8"/>
      <c r="O133" s="1">
        <v>40400</v>
      </c>
      <c r="P133" s="15" t="s">
        <v>25</v>
      </c>
      <c r="Q133" s="7"/>
      <c r="R133" s="17"/>
      <c r="S133" s="7"/>
      <c r="T133" s="17"/>
      <c r="U133" s="7"/>
      <c r="V133" s="165"/>
    </row>
    <row r="134" spans="1:22" ht="11.25" customHeight="1" x14ac:dyDescent="0.25">
      <c r="A134" s="24" t="s">
        <v>52</v>
      </c>
      <c r="B134" s="56"/>
      <c r="C134" s="19">
        <f>C133/C137</f>
        <v>4.6859903381642511E-2</v>
      </c>
      <c r="D134" s="157"/>
      <c r="E134" s="19">
        <f>E133/E137</f>
        <v>0.15991156462585035</v>
      </c>
      <c r="F134" s="157"/>
      <c r="G134" s="19">
        <f>G133/G137</f>
        <v>4.0935672514619881E-2</v>
      </c>
      <c r="H134" s="157"/>
      <c r="I134" s="19">
        <f>I133/I137</f>
        <v>0.269040899795501</v>
      </c>
      <c r="J134" s="157"/>
      <c r="K134" s="19">
        <f>K133/K137</f>
        <v>5.2407932011331447E-2</v>
      </c>
      <c r="L134" s="157"/>
      <c r="M134" s="19">
        <f>M133/M137</f>
        <v>0.34627272727272729</v>
      </c>
      <c r="N134" s="157"/>
      <c r="O134" s="19">
        <f>O133/O137</f>
        <v>0.14175438596491227</v>
      </c>
      <c r="P134" s="157"/>
      <c r="Q134" s="57"/>
      <c r="R134" s="165"/>
      <c r="S134" s="7"/>
      <c r="T134" s="16"/>
      <c r="U134" s="7"/>
      <c r="V134" s="16"/>
    </row>
    <row r="135" spans="1:22" ht="11.25" customHeight="1" x14ac:dyDescent="0.25">
      <c r="A135" s="10" t="s">
        <v>53</v>
      </c>
      <c r="B135" s="157"/>
      <c r="C135" s="1">
        <v>87000</v>
      </c>
      <c r="D135" s="157"/>
      <c r="E135" s="51" t="s">
        <v>24</v>
      </c>
      <c r="F135" s="157"/>
      <c r="G135" s="1">
        <v>21100</v>
      </c>
      <c r="H135" s="157"/>
      <c r="I135" s="8" t="s">
        <v>54</v>
      </c>
      <c r="J135" s="157"/>
      <c r="K135" s="1">
        <v>7250</v>
      </c>
      <c r="L135" s="157"/>
      <c r="M135" s="1">
        <v>520</v>
      </c>
      <c r="N135" s="8"/>
      <c r="O135" s="1">
        <v>44000</v>
      </c>
      <c r="P135" s="31"/>
      <c r="Q135" s="7"/>
      <c r="R135" s="16"/>
      <c r="S135" s="7"/>
      <c r="T135" s="165"/>
      <c r="U135" s="7"/>
      <c r="V135" s="17"/>
    </row>
    <row r="136" spans="1:22" ht="11.25" customHeight="1" x14ac:dyDescent="0.25">
      <c r="A136" s="24" t="s">
        <v>52</v>
      </c>
      <c r="B136" s="157"/>
      <c r="C136" s="58">
        <f>C135/C137</f>
        <v>2.1014492753623187E-2</v>
      </c>
      <c r="D136" s="157"/>
      <c r="E136" s="51" t="s">
        <v>24</v>
      </c>
      <c r="F136" s="157"/>
      <c r="G136" s="58">
        <f>G135/G137</f>
        <v>6.169590643274854E-2</v>
      </c>
      <c r="H136" s="157"/>
      <c r="I136" s="8" t="s">
        <v>54</v>
      </c>
      <c r="J136" s="157"/>
      <c r="K136" s="58">
        <f>K135/K137</f>
        <v>0.10269121813031161</v>
      </c>
      <c r="L136" s="157"/>
      <c r="M136" s="58">
        <f>M135/M137</f>
        <v>1.1818181818181818E-2</v>
      </c>
      <c r="N136" s="157"/>
      <c r="O136" s="58">
        <f>O135/O137</f>
        <v>0.15438596491228071</v>
      </c>
      <c r="P136" s="157"/>
      <c r="Q136" s="9"/>
      <c r="R136" s="165"/>
      <c r="S136" s="57"/>
      <c r="T136" s="165"/>
      <c r="U136" s="57"/>
      <c r="V136" s="165"/>
    </row>
    <row r="137" spans="1:22" ht="11.25" customHeight="1" x14ac:dyDescent="0.25">
      <c r="A137" s="24" t="s">
        <v>55</v>
      </c>
      <c r="B137" s="11"/>
      <c r="C137" s="59">
        <v>4140000</v>
      </c>
      <c r="D137" s="158"/>
      <c r="E137" s="59">
        <v>147000</v>
      </c>
      <c r="F137" s="158"/>
      <c r="G137" s="59">
        <v>342000</v>
      </c>
      <c r="H137" s="60" t="s">
        <v>86</v>
      </c>
      <c r="I137" s="59">
        <v>489000</v>
      </c>
      <c r="J137" s="14"/>
      <c r="K137" s="59">
        <v>70600</v>
      </c>
      <c r="L137" s="158"/>
      <c r="M137" s="59">
        <v>44000</v>
      </c>
      <c r="N137" s="14"/>
      <c r="O137" s="59">
        <v>285000</v>
      </c>
      <c r="P137" s="158"/>
      <c r="Q137" s="7"/>
      <c r="R137" s="17"/>
      <c r="S137" s="7"/>
      <c r="T137" s="16"/>
      <c r="U137" s="7"/>
      <c r="V137" s="16"/>
    </row>
    <row r="138" spans="1:22" ht="11.25" customHeight="1" x14ac:dyDescent="0.25">
      <c r="A138" s="236" t="s">
        <v>56</v>
      </c>
      <c r="B138" s="236"/>
      <c r="C138" s="236"/>
      <c r="D138" s="236"/>
      <c r="E138" s="236"/>
      <c r="F138" s="236"/>
      <c r="G138" s="236"/>
      <c r="H138" s="236"/>
      <c r="I138" s="236"/>
      <c r="J138" s="236"/>
      <c r="K138" s="236"/>
      <c r="L138" s="236"/>
      <c r="M138" s="236"/>
      <c r="N138" s="236"/>
      <c r="O138" s="236"/>
      <c r="P138" s="236"/>
      <c r="Q138" s="66"/>
      <c r="R138" s="66"/>
      <c r="S138" s="66"/>
      <c r="T138" s="66"/>
      <c r="U138" s="66"/>
      <c r="V138" s="66"/>
    </row>
    <row r="139" spans="1:22" ht="11.25" customHeight="1" x14ac:dyDescent="0.25">
      <c r="A139" s="220" t="s">
        <v>57</v>
      </c>
      <c r="B139" s="220"/>
      <c r="C139" s="220"/>
      <c r="D139" s="220"/>
      <c r="E139" s="220"/>
      <c r="F139" s="220"/>
      <c r="G139" s="220"/>
      <c r="H139" s="220"/>
      <c r="I139" s="220"/>
      <c r="J139" s="220"/>
      <c r="K139" s="220"/>
      <c r="L139" s="220"/>
      <c r="M139" s="176"/>
      <c r="N139" s="176"/>
      <c r="O139" s="63"/>
      <c r="P139" s="63"/>
      <c r="Q139" s="9"/>
      <c r="R139" s="165"/>
      <c r="S139" s="57"/>
      <c r="T139" s="165"/>
      <c r="U139" s="57"/>
      <c r="V139" s="165"/>
    </row>
    <row r="140" spans="1:22" ht="11.25" customHeight="1" x14ac:dyDescent="0.25">
      <c r="A140" s="220" t="s">
        <v>0</v>
      </c>
      <c r="B140" s="220"/>
      <c r="C140" s="220"/>
      <c r="D140" s="220"/>
      <c r="E140" s="220"/>
      <c r="F140" s="220"/>
      <c r="G140" s="220"/>
      <c r="H140" s="220"/>
      <c r="I140" s="220"/>
      <c r="J140" s="220"/>
      <c r="K140" s="220"/>
      <c r="L140" s="220"/>
      <c r="M140" s="176"/>
      <c r="N140" s="176"/>
      <c r="O140" s="63"/>
      <c r="P140" s="63"/>
      <c r="Q140" s="9"/>
      <c r="R140" s="165"/>
      <c r="S140" s="57"/>
      <c r="T140" s="165"/>
      <c r="U140" s="57"/>
      <c r="V140" s="165"/>
    </row>
    <row r="141" spans="1:22" ht="11.25" customHeight="1" x14ac:dyDescent="0.25">
      <c r="A141" s="218"/>
      <c r="B141" s="218"/>
      <c r="C141" s="218"/>
      <c r="D141" s="218"/>
      <c r="E141" s="218"/>
      <c r="F141" s="218"/>
      <c r="G141" s="218"/>
      <c r="H141" s="218"/>
      <c r="I141" s="218"/>
      <c r="J141" s="218"/>
      <c r="K141" s="218"/>
      <c r="L141" s="218"/>
      <c r="M141" s="175"/>
      <c r="N141" s="175"/>
      <c r="O141" s="65"/>
      <c r="P141" s="65"/>
      <c r="Q141" s="9"/>
      <c r="R141" s="165"/>
      <c r="S141" s="57"/>
      <c r="T141" s="165"/>
      <c r="U141" s="57"/>
      <c r="V141" s="165"/>
    </row>
    <row r="142" spans="1:22" ht="11.25" customHeight="1" x14ac:dyDescent="0.25">
      <c r="A142" s="222" t="s">
        <v>143</v>
      </c>
      <c r="B142" s="222"/>
      <c r="C142" s="222"/>
      <c r="D142" s="222"/>
      <c r="E142" s="222"/>
      <c r="F142" s="222"/>
      <c r="G142" s="222"/>
      <c r="H142" s="222"/>
      <c r="I142" s="222"/>
      <c r="J142" s="222"/>
      <c r="K142" s="222"/>
      <c r="L142" s="222"/>
      <c r="M142" s="177"/>
      <c r="N142" s="177"/>
      <c r="O142" s="63"/>
      <c r="P142" s="63"/>
      <c r="Q142" s="9"/>
      <c r="R142" s="165"/>
      <c r="S142" s="57"/>
      <c r="T142" s="165"/>
      <c r="U142" s="57"/>
      <c r="V142" s="165"/>
    </row>
    <row r="143" spans="1:22" ht="11.25" customHeight="1" x14ac:dyDescent="0.25">
      <c r="A143" s="223"/>
      <c r="B143" s="223"/>
      <c r="C143" s="223"/>
      <c r="D143" s="223"/>
      <c r="E143" s="223"/>
      <c r="F143" s="223"/>
      <c r="G143" s="223"/>
      <c r="H143" s="223"/>
      <c r="I143" s="223"/>
      <c r="J143" s="223"/>
      <c r="K143" s="223"/>
      <c r="L143" s="223"/>
      <c r="M143" s="178"/>
      <c r="N143" s="178"/>
      <c r="O143" s="9"/>
      <c r="P143" s="165"/>
      <c r="Q143" s="9"/>
      <c r="R143" s="165"/>
      <c r="S143" s="57"/>
      <c r="T143" s="165"/>
      <c r="U143" s="57"/>
      <c r="V143" s="165"/>
    </row>
    <row r="144" spans="1:22" ht="11.25" customHeight="1" x14ac:dyDescent="0.25">
      <c r="A144" s="172"/>
      <c r="B144" s="163"/>
      <c r="C144" s="239" t="s">
        <v>79</v>
      </c>
      <c r="D144" s="239"/>
      <c r="E144" s="239"/>
      <c r="F144" s="239"/>
      <c r="G144" s="239"/>
      <c r="H144" s="239"/>
      <c r="I144" s="239"/>
      <c r="J144" s="239"/>
      <c r="K144" s="239"/>
      <c r="L144" s="239"/>
      <c r="M144" s="154"/>
      <c r="N144" s="154"/>
      <c r="O144" s="7"/>
      <c r="P144" s="17"/>
      <c r="Q144" s="7"/>
      <c r="R144" s="165"/>
      <c r="S144" s="7"/>
      <c r="T144" s="17"/>
    </row>
    <row r="145" spans="1:20" ht="11.25" customHeight="1" x14ac:dyDescent="0.25">
      <c r="A145" s="165"/>
      <c r="B145" s="165"/>
      <c r="C145" s="157"/>
      <c r="D145" s="157"/>
      <c r="E145" s="157"/>
      <c r="F145" s="157"/>
      <c r="G145" s="226" t="s">
        <v>80</v>
      </c>
      <c r="H145" s="226"/>
      <c r="I145" s="226"/>
      <c r="J145" s="165"/>
      <c r="K145" s="165"/>
      <c r="L145" s="157"/>
      <c r="M145" s="7"/>
      <c r="N145" s="165"/>
      <c r="O145" s="7"/>
      <c r="P145" s="17"/>
      <c r="Q145" s="7"/>
      <c r="R145" s="165"/>
      <c r="S145" s="7"/>
      <c r="T145" s="17"/>
    </row>
    <row r="146" spans="1:20" ht="11.25" customHeight="1" x14ac:dyDescent="0.25">
      <c r="A146" s="165"/>
      <c r="B146" s="165"/>
      <c r="C146" s="26"/>
      <c r="D146" s="2"/>
      <c r="E146" s="165"/>
      <c r="F146" s="146"/>
      <c r="G146" s="171" t="s">
        <v>173</v>
      </c>
      <c r="H146" s="155"/>
      <c r="I146" s="155" t="s">
        <v>177</v>
      </c>
      <c r="J146" s="157"/>
      <c r="K146" s="2"/>
      <c r="L146" s="2"/>
      <c r="M146" s="7"/>
      <c r="N146" s="165"/>
      <c r="O146" s="7"/>
      <c r="P146" s="17"/>
      <c r="Q146" s="7"/>
      <c r="R146" s="165"/>
      <c r="S146" s="7"/>
      <c r="T146" s="17"/>
    </row>
    <row r="147" spans="1:20" ht="11.25" customHeight="1" x14ac:dyDescent="0.25">
      <c r="A147" s="165"/>
      <c r="B147" s="165"/>
      <c r="C147" s="2"/>
      <c r="D147" s="2"/>
      <c r="E147" s="165" t="s">
        <v>161</v>
      </c>
      <c r="F147" s="155"/>
      <c r="G147" s="2" t="s">
        <v>134</v>
      </c>
      <c r="H147" s="155"/>
      <c r="I147" s="155" t="s">
        <v>176</v>
      </c>
      <c r="J147" s="157"/>
      <c r="K147" s="26" t="s">
        <v>82</v>
      </c>
      <c r="L147" s="2"/>
      <c r="M147" s="7"/>
      <c r="N147" s="165"/>
      <c r="O147" s="7"/>
      <c r="P147" s="17"/>
      <c r="Q147" s="7"/>
      <c r="R147" s="165"/>
      <c r="S147" s="7"/>
      <c r="T147" s="17"/>
    </row>
    <row r="148" spans="1:20" ht="11.25" customHeight="1" x14ac:dyDescent="0.25">
      <c r="A148" s="165"/>
      <c r="B148" s="165"/>
      <c r="C148" s="155" t="s">
        <v>83</v>
      </c>
      <c r="D148" s="157"/>
      <c r="E148" s="155" t="s">
        <v>159</v>
      </c>
      <c r="F148" s="155"/>
      <c r="G148" s="171" t="s">
        <v>135</v>
      </c>
      <c r="H148" s="155"/>
      <c r="I148" s="171" t="s">
        <v>81</v>
      </c>
      <c r="J148" s="2"/>
      <c r="K148" s="26" t="s">
        <v>84</v>
      </c>
      <c r="L148" s="2"/>
      <c r="M148" s="7"/>
      <c r="N148" s="165"/>
      <c r="O148" s="7"/>
      <c r="P148" s="17"/>
      <c r="Q148" s="7"/>
      <c r="R148" s="165"/>
      <c r="S148" s="7"/>
      <c r="T148" s="17"/>
    </row>
    <row r="149" spans="1:20" ht="11.25" customHeight="1" x14ac:dyDescent="0.25">
      <c r="A149" s="159" t="s">
        <v>15</v>
      </c>
      <c r="B149" s="158"/>
      <c r="C149" s="159" t="s">
        <v>85</v>
      </c>
      <c r="D149" s="21"/>
      <c r="E149" s="173" t="s">
        <v>160</v>
      </c>
      <c r="F149" s="21"/>
      <c r="G149" s="159" t="s">
        <v>175</v>
      </c>
      <c r="H149" s="21"/>
      <c r="I149" s="159" t="s">
        <v>174</v>
      </c>
      <c r="J149" s="21"/>
      <c r="K149" s="156" t="s">
        <v>19</v>
      </c>
      <c r="L149" s="21"/>
      <c r="M149" s="7"/>
      <c r="N149" s="165"/>
      <c r="O149" s="7"/>
      <c r="P149" s="17"/>
      <c r="Q149" s="7"/>
      <c r="R149" s="165"/>
      <c r="S149" s="7"/>
      <c r="T149" s="17"/>
    </row>
    <row r="150" spans="1:20" ht="11.25" customHeight="1" x14ac:dyDescent="0.25">
      <c r="A150" s="10" t="s">
        <v>23</v>
      </c>
      <c r="B150" s="162"/>
      <c r="C150" s="1">
        <v>38</v>
      </c>
      <c r="D150" s="6" t="s">
        <v>25</v>
      </c>
      <c r="E150" s="1">
        <v>47020</v>
      </c>
      <c r="F150" s="6"/>
      <c r="G150" s="1">
        <v>178631</v>
      </c>
      <c r="H150" s="6"/>
      <c r="I150" s="1">
        <v>170455</v>
      </c>
      <c r="J150" s="6"/>
      <c r="K150" s="51" t="s">
        <v>24</v>
      </c>
      <c r="L150" s="6"/>
      <c r="M150" s="7"/>
      <c r="N150" s="165"/>
      <c r="O150" s="7"/>
      <c r="P150" s="17"/>
      <c r="Q150" s="7"/>
      <c r="R150" s="165"/>
      <c r="S150" s="7"/>
      <c r="T150" s="17"/>
    </row>
    <row r="151" spans="1:20" ht="11.25" customHeight="1" x14ac:dyDescent="0.25">
      <c r="A151" s="10" t="s">
        <v>26</v>
      </c>
      <c r="B151" s="162"/>
      <c r="C151" s="8" t="s">
        <v>24</v>
      </c>
      <c r="D151" s="6"/>
      <c r="E151" s="8" t="s">
        <v>24</v>
      </c>
      <c r="F151" s="6"/>
      <c r="G151" s="1">
        <v>801</v>
      </c>
      <c r="H151" s="6"/>
      <c r="I151" s="8" t="s">
        <v>24</v>
      </c>
      <c r="J151" s="6"/>
      <c r="K151" s="51" t="s">
        <v>24</v>
      </c>
      <c r="L151" s="6"/>
      <c r="M151" s="7"/>
      <c r="N151" s="165"/>
      <c r="O151" s="7"/>
      <c r="P151" s="17"/>
      <c r="Q151" s="7"/>
      <c r="R151" s="165"/>
      <c r="S151" s="7"/>
      <c r="T151" s="17"/>
    </row>
    <row r="152" spans="1:20" ht="11.25" customHeight="1" x14ac:dyDescent="0.25">
      <c r="A152" s="10" t="s">
        <v>27</v>
      </c>
      <c r="B152" s="162"/>
      <c r="C152" s="8" t="s">
        <v>24</v>
      </c>
      <c r="D152" s="6"/>
      <c r="E152" s="1">
        <v>20500</v>
      </c>
      <c r="F152" s="6" t="s">
        <v>25</v>
      </c>
      <c r="G152" s="1">
        <v>16000</v>
      </c>
      <c r="H152" s="6" t="s">
        <v>25</v>
      </c>
      <c r="I152" s="1">
        <v>16100</v>
      </c>
      <c r="J152" s="6" t="s">
        <v>25</v>
      </c>
      <c r="K152" s="51" t="s">
        <v>24</v>
      </c>
      <c r="L152" s="6"/>
      <c r="M152" s="7"/>
      <c r="N152" s="165"/>
      <c r="O152" s="7"/>
      <c r="P152" s="17"/>
      <c r="Q152" s="7"/>
      <c r="R152" s="165"/>
      <c r="S152" s="7"/>
      <c r="T152" s="17"/>
    </row>
    <row r="153" spans="1:20" ht="11.25" customHeight="1" x14ac:dyDescent="0.25">
      <c r="A153" s="10" t="s">
        <v>28</v>
      </c>
      <c r="B153" s="162"/>
      <c r="C153" s="1">
        <v>6000</v>
      </c>
      <c r="D153" s="6" t="s">
        <v>25</v>
      </c>
      <c r="E153" s="1">
        <v>40857</v>
      </c>
      <c r="F153" s="6"/>
      <c r="G153" s="1">
        <v>944117</v>
      </c>
      <c r="H153" s="6"/>
      <c r="I153" s="1">
        <v>422000</v>
      </c>
      <c r="J153" s="6" t="s">
        <v>25</v>
      </c>
      <c r="K153" s="51" t="s">
        <v>24</v>
      </c>
      <c r="L153" s="6"/>
      <c r="M153" s="7"/>
      <c r="N153" s="165"/>
      <c r="O153" s="7"/>
      <c r="P153" s="17"/>
      <c r="Q153" s="7"/>
      <c r="R153" s="165"/>
      <c r="S153" s="7"/>
      <c r="T153" s="17"/>
    </row>
    <row r="154" spans="1:20" ht="11.25" customHeight="1" x14ac:dyDescent="0.25">
      <c r="A154" s="10" t="s">
        <v>29</v>
      </c>
      <c r="B154" s="162"/>
      <c r="C154" s="1">
        <v>54300</v>
      </c>
      <c r="D154" s="4" t="s">
        <v>25</v>
      </c>
      <c r="E154" s="1">
        <v>172725</v>
      </c>
      <c r="F154" s="18"/>
      <c r="G154" s="1">
        <v>1900920</v>
      </c>
      <c r="H154" s="18"/>
      <c r="I154" s="1">
        <v>694000</v>
      </c>
      <c r="J154" s="6"/>
      <c r="K154" s="27">
        <v>9078</v>
      </c>
      <c r="L154" s="18"/>
      <c r="M154" s="7"/>
      <c r="N154" s="165"/>
      <c r="O154" s="7"/>
      <c r="P154" s="17"/>
      <c r="Q154" s="7"/>
      <c r="R154" s="165"/>
      <c r="S154" s="7"/>
      <c r="T154" s="17"/>
    </row>
    <row r="155" spans="1:20" ht="11.25" customHeight="1" x14ac:dyDescent="0.25">
      <c r="A155" s="10" t="s">
        <v>30</v>
      </c>
      <c r="B155" s="162"/>
      <c r="C155" s="1">
        <v>2295</v>
      </c>
      <c r="D155" s="8"/>
      <c r="E155" s="1">
        <v>1221</v>
      </c>
      <c r="F155" s="8"/>
      <c r="G155" s="1">
        <v>1120</v>
      </c>
      <c r="H155" s="8"/>
      <c r="I155" s="1">
        <v>71700</v>
      </c>
      <c r="J155" s="157"/>
      <c r="K155" s="51" t="s">
        <v>24</v>
      </c>
      <c r="L155" s="6"/>
      <c r="M155" s="7"/>
      <c r="N155" s="165"/>
      <c r="O155" s="7"/>
      <c r="P155" s="17"/>
      <c r="Q155" s="7"/>
      <c r="R155" s="165"/>
      <c r="S155" s="7"/>
      <c r="T155" s="17"/>
    </row>
    <row r="156" spans="1:20" ht="11.25" customHeight="1" x14ac:dyDescent="0.25">
      <c r="A156" s="10" t="s">
        <v>31</v>
      </c>
      <c r="B156" s="162"/>
      <c r="C156" s="1">
        <v>85437</v>
      </c>
      <c r="D156" s="4"/>
      <c r="E156" s="1">
        <v>9599</v>
      </c>
      <c r="F156" s="6"/>
      <c r="G156" s="1">
        <v>315798</v>
      </c>
      <c r="H156" s="6"/>
      <c r="I156" s="1">
        <v>136145</v>
      </c>
      <c r="J156" s="6"/>
      <c r="K156" s="51" t="s">
        <v>24</v>
      </c>
      <c r="L156" s="6"/>
      <c r="M156" s="7"/>
      <c r="N156" s="165"/>
      <c r="O156" s="7"/>
      <c r="P156" s="17"/>
      <c r="Q156" s="7"/>
      <c r="R156" s="165"/>
      <c r="S156" s="7"/>
      <c r="T156" s="17"/>
    </row>
    <row r="157" spans="1:20" ht="11.25" customHeight="1" x14ac:dyDescent="0.25">
      <c r="A157" s="10" t="s">
        <v>32</v>
      </c>
      <c r="B157" s="162"/>
      <c r="C157" s="8" t="s">
        <v>24</v>
      </c>
      <c r="D157" s="6"/>
      <c r="E157" s="8" t="s">
        <v>24</v>
      </c>
      <c r="F157" s="8"/>
      <c r="G157" s="8" t="s">
        <v>24</v>
      </c>
      <c r="H157" s="8"/>
      <c r="I157" s="1">
        <v>20000</v>
      </c>
      <c r="J157" s="6"/>
      <c r="K157" s="51" t="s">
        <v>24</v>
      </c>
      <c r="L157" s="157"/>
      <c r="M157" s="7"/>
      <c r="N157" s="165"/>
      <c r="O157" s="7"/>
      <c r="P157" s="17"/>
      <c r="Q157" s="7"/>
      <c r="R157" s="165"/>
      <c r="S157" s="7"/>
      <c r="T157" s="17"/>
    </row>
    <row r="158" spans="1:20" ht="11.25" customHeight="1" x14ac:dyDescent="0.25">
      <c r="A158" s="10" t="s">
        <v>33</v>
      </c>
      <c r="B158" s="162"/>
      <c r="C158" s="8" t="s">
        <v>24</v>
      </c>
      <c r="D158" s="6"/>
      <c r="E158" s="1">
        <v>970</v>
      </c>
      <c r="F158" s="4"/>
      <c r="G158" s="1">
        <v>18000</v>
      </c>
      <c r="H158" s="6" t="s">
        <v>25</v>
      </c>
      <c r="I158" s="1">
        <v>13000</v>
      </c>
      <c r="J158" s="6" t="s">
        <v>25</v>
      </c>
      <c r="K158" s="51" t="s">
        <v>24</v>
      </c>
      <c r="L158" s="157"/>
      <c r="M158" s="7"/>
      <c r="N158" s="165"/>
      <c r="O158" s="7"/>
      <c r="P158" s="17"/>
      <c r="Q158" s="7"/>
      <c r="R158" s="165"/>
      <c r="S158" s="7"/>
      <c r="T158" s="17"/>
    </row>
    <row r="159" spans="1:20" ht="11.25" customHeight="1" x14ac:dyDescent="0.25">
      <c r="A159" s="10" t="s">
        <v>34</v>
      </c>
      <c r="B159" s="162"/>
      <c r="C159" s="8" t="s">
        <v>24</v>
      </c>
      <c r="D159" s="6"/>
      <c r="E159" s="8" t="s">
        <v>24</v>
      </c>
      <c r="F159" s="8"/>
      <c r="G159" s="8" t="s">
        <v>24</v>
      </c>
      <c r="H159" s="8"/>
      <c r="I159" s="8" t="s">
        <v>24</v>
      </c>
      <c r="J159" s="6"/>
      <c r="K159" s="51" t="s">
        <v>24</v>
      </c>
      <c r="L159" s="157"/>
      <c r="M159" s="7"/>
      <c r="N159" s="165"/>
      <c r="O159" s="7"/>
      <c r="P159" s="17"/>
      <c r="Q159" s="7"/>
      <c r="R159" s="165"/>
      <c r="S159" s="7"/>
      <c r="T159" s="17"/>
    </row>
    <row r="160" spans="1:20" ht="11.25" customHeight="1" x14ac:dyDescent="0.25">
      <c r="A160" s="10" t="s">
        <v>35</v>
      </c>
      <c r="B160" s="162"/>
      <c r="C160" s="8" t="s">
        <v>24</v>
      </c>
      <c r="D160" s="4"/>
      <c r="E160" s="1">
        <v>349</v>
      </c>
      <c r="F160" s="6"/>
      <c r="G160" s="1">
        <v>188789</v>
      </c>
      <c r="H160" s="6"/>
      <c r="I160" s="1">
        <v>80900</v>
      </c>
      <c r="J160" s="6"/>
      <c r="K160" s="51" t="s">
        <v>24</v>
      </c>
      <c r="L160" s="6"/>
      <c r="M160" s="7"/>
      <c r="N160" s="165"/>
      <c r="O160" s="7"/>
      <c r="P160" s="17"/>
      <c r="Q160" s="7"/>
      <c r="R160" s="165"/>
      <c r="S160" s="7"/>
      <c r="T160" s="17"/>
    </row>
    <row r="161" spans="1:20" ht="11.25" customHeight="1" x14ac:dyDescent="0.25">
      <c r="A161" s="10" t="s">
        <v>36</v>
      </c>
      <c r="B161" s="162"/>
      <c r="C161" s="8" t="s">
        <v>24</v>
      </c>
      <c r="D161" s="6"/>
      <c r="E161" s="8" t="s">
        <v>24</v>
      </c>
      <c r="F161" s="8"/>
      <c r="G161" s="8" t="s">
        <v>24</v>
      </c>
      <c r="H161" s="8"/>
      <c r="I161" s="8" t="s">
        <v>24</v>
      </c>
      <c r="J161" s="6"/>
      <c r="K161" s="51" t="s">
        <v>24</v>
      </c>
      <c r="L161" s="157"/>
      <c r="M161" s="7"/>
      <c r="N161" s="165"/>
      <c r="O161" s="7"/>
      <c r="P161" s="17"/>
      <c r="Q161" s="7"/>
      <c r="R161" s="165"/>
      <c r="S161" s="7"/>
      <c r="T161" s="17"/>
    </row>
    <row r="162" spans="1:20" ht="11.25" customHeight="1" x14ac:dyDescent="0.25">
      <c r="A162" s="10" t="s">
        <v>37</v>
      </c>
      <c r="B162" s="162"/>
      <c r="C162" s="8" t="s">
        <v>24</v>
      </c>
      <c r="D162" s="8"/>
      <c r="E162" s="8" t="s">
        <v>24</v>
      </c>
      <c r="F162" s="8"/>
      <c r="G162" s="8" t="s">
        <v>24</v>
      </c>
      <c r="H162" s="8"/>
      <c r="I162" s="8" t="s">
        <v>24</v>
      </c>
      <c r="J162" s="157"/>
      <c r="K162" s="51" t="s">
        <v>24</v>
      </c>
      <c r="L162" s="157"/>
      <c r="M162" s="7"/>
      <c r="N162" s="165"/>
      <c r="O162" s="7"/>
      <c r="P162" s="17"/>
      <c r="Q162" s="7"/>
      <c r="R162" s="165"/>
      <c r="S162" s="7"/>
      <c r="T162" s="17"/>
    </row>
    <row r="163" spans="1:20" ht="11.25" customHeight="1" x14ac:dyDescent="0.25">
      <c r="A163" s="10" t="s">
        <v>76</v>
      </c>
      <c r="B163" s="162"/>
      <c r="C163" s="8" t="s">
        <v>24</v>
      </c>
      <c r="D163" s="6"/>
      <c r="E163" s="8" t="s">
        <v>24</v>
      </c>
      <c r="F163" s="6"/>
      <c r="G163" s="8" t="s">
        <v>24</v>
      </c>
      <c r="H163" s="6"/>
      <c r="I163" s="8" t="s">
        <v>24</v>
      </c>
      <c r="J163" s="6"/>
      <c r="K163" s="51" t="s">
        <v>24</v>
      </c>
      <c r="L163" s="157"/>
      <c r="M163" s="7"/>
      <c r="N163" s="165"/>
      <c r="O163" s="7"/>
      <c r="P163" s="17"/>
      <c r="Q163" s="7"/>
      <c r="R163" s="165"/>
      <c r="S163" s="7"/>
      <c r="T163" s="17"/>
    </row>
    <row r="164" spans="1:20" ht="11.25" customHeight="1" x14ac:dyDescent="0.25">
      <c r="A164" s="10" t="s">
        <v>38</v>
      </c>
      <c r="B164" s="162"/>
      <c r="C164" s="8" t="s">
        <v>24</v>
      </c>
      <c r="D164" s="6"/>
      <c r="E164" s="8" t="s">
        <v>24</v>
      </c>
      <c r="F164" s="6"/>
      <c r="G164" s="1">
        <v>3363</v>
      </c>
      <c r="H164" s="6"/>
      <c r="I164" s="1">
        <v>950277</v>
      </c>
      <c r="J164" s="6"/>
      <c r="K164" s="51" t="s">
        <v>24</v>
      </c>
      <c r="L164" s="157"/>
      <c r="M164" s="7"/>
      <c r="N164" s="165"/>
      <c r="O164" s="7"/>
      <c r="P164" s="17"/>
      <c r="Q164" s="7"/>
      <c r="R164" s="165"/>
      <c r="S164" s="7"/>
      <c r="T164" s="17"/>
    </row>
    <row r="165" spans="1:20" ht="11.25" customHeight="1" x14ac:dyDescent="0.25">
      <c r="A165" s="10" t="s">
        <v>39</v>
      </c>
      <c r="B165" s="162"/>
      <c r="C165" s="8" t="s">
        <v>24</v>
      </c>
      <c r="D165" s="8"/>
      <c r="E165" s="8" t="s">
        <v>24</v>
      </c>
      <c r="F165" s="8"/>
      <c r="G165" s="8" t="s">
        <v>24</v>
      </c>
      <c r="H165" s="8"/>
      <c r="I165" s="1" t="s">
        <v>24</v>
      </c>
      <c r="J165" s="157"/>
      <c r="K165" s="51" t="s">
        <v>24</v>
      </c>
      <c r="L165" s="157"/>
      <c r="M165" s="7"/>
      <c r="N165" s="165"/>
      <c r="O165" s="7"/>
      <c r="P165" s="17"/>
      <c r="Q165" s="7"/>
      <c r="R165" s="165"/>
      <c r="S165" s="7"/>
      <c r="T165" s="17"/>
    </row>
    <row r="166" spans="1:20" ht="11.25" customHeight="1" x14ac:dyDescent="0.25">
      <c r="A166" s="10" t="s">
        <v>77</v>
      </c>
      <c r="B166" s="162"/>
      <c r="C166" s="8" t="s">
        <v>24</v>
      </c>
      <c r="D166" s="6"/>
      <c r="E166" s="8" t="s">
        <v>24</v>
      </c>
      <c r="F166" s="8"/>
      <c r="G166" s="8" t="s">
        <v>24</v>
      </c>
      <c r="H166" s="8"/>
      <c r="I166" s="8" t="s">
        <v>24</v>
      </c>
      <c r="J166" s="157"/>
      <c r="K166" s="51" t="s">
        <v>24</v>
      </c>
      <c r="L166" s="157"/>
      <c r="M166" s="7"/>
      <c r="N166" s="165"/>
      <c r="O166" s="7"/>
      <c r="P166" s="17"/>
      <c r="Q166" s="7"/>
      <c r="R166" s="165"/>
      <c r="S166" s="7"/>
      <c r="T166" s="17"/>
    </row>
    <row r="167" spans="1:20" ht="11.25" customHeight="1" x14ac:dyDescent="0.25">
      <c r="A167" s="10" t="s">
        <v>40</v>
      </c>
      <c r="B167" s="162"/>
      <c r="C167" s="8" t="s">
        <v>24</v>
      </c>
      <c r="D167" s="6"/>
      <c r="E167" s="8" t="s">
        <v>24</v>
      </c>
      <c r="F167" s="8"/>
      <c r="G167" s="8" t="s">
        <v>24</v>
      </c>
      <c r="H167" s="8"/>
      <c r="I167" s="8" t="s">
        <v>24</v>
      </c>
      <c r="J167" s="157"/>
      <c r="K167" s="51" t="s">
        <v>24</v>
      </c>
      <c r="L167" s="157"/>
      <c r="M167" s="7"/>
      <c r="N167" s="165"/>
      <c r="O167" s="7"/>
      <c r="P167" s="17"/>
      <c r="Q167" s="7"/>
      <c r="R167" s="165"/>
      <c r="S167" s="7"/>
      <c r="T167" s="17"/>
    </row>
    <row r="168" spans="1:20" ht="11.25" customHeight="1" x14ac:dyDescent="0.25">
      <c r="A168" s="10" t="s">
        <v>41</v>
      </c>
      <c r="B168" s="162"/>
      <c r="C168" s="8" t="s">
        <v>24</v>
      </c>
      <c r="D168" s="6"/>
      <c r="E168" s="8" t="s">
        <v>24</v>
      </c>
      <c r="F168" s="8"/>
      <c r="G168" s="8" t="s">
        <v>24</v>
      </c>
      <c r="H168" s="8"/>
      <c r="I168" s="1">
        <v>7340</v>
      </c>
      <c r="J168" s="6"/>
      <c r="K168" s="51" t="s">
        <v>24</v>
      </c>
      <c r="L168" s="157"/>
      <c r="M168" s="7"/>
      <c r="N168" s="165"/>
      <c r="O168" s="7"/>
      <c r="P168" s="17"/>
      <c r="Q168" s="7"/>
      <c r="R168" s="165"/>
      <c r="S168" s="7"/>
      <c r="T168" s="17"/>
    </row>
    <row r="169" spans="1:20" ht="11.25" customHeight="1" x14ac:dyDescent="0.25">
      <c r="A169" s="10" t="s">
        <v>78</v>
      </c>
      <c r="B169" s="162"/>
      <c r="C169" s="8" t="s">
        <v>24</v>
      </c>
      <c r="D169" s="6"/>
      <c r="E169" s="8" t="s">
        <v>24</v>
      </c>
      <c r="F169" s="6"/>
      <c r="G169" s="8" t="s">
        <v>24</v>
      </c>
      <c r="H169" s="6"/>
      <c r="I169" s="8" t="s">
        <v>24</v>
      </c>
      <c r="J169" s="6"/>
      <c r="K169" s="51" t="s">
        <v>24</v>
      </c>
      <c r="L169" s="157"/>
      <c r="M169" s="7"/>
      <c r="N169" s="165"/>
      <c r="O169" s="7"/>
      <c r="P169" s="17"/>
      <c r="Q169" s="7"/>
      <c r="R169" s="165"/>
      <c r="S169" s="7"/>
      <c r="T169" s="17"/>
    </row>
    <row r="170" spans="1:20" ht="11.25" customHeight="1" x14ac:dyDescent="0.25">
      <c r="A170" s="10" t="s">
        <v>42</v>
      </c>
      <c r="B170" s="162"/>
      <c r="C170" s="1">
        <v>11400</v>
      </c>
      <c r="D170" s="4" t="s">
        <v>25</v>
      </c>
      <c r="E170" s="1">
        <v>31570</v>
      </c>
      <c r="F170" s="6"/>
      <c r="G170" s="1">
        <v>675980</v>
      </c>
      <c r="H170" s="6"/>
      <c r="I170" s="8" t="s">
        <v>24</v>
      </c>
      <c r="J170" s="4"/>
      <c r="K170" s="51" t="s">
        <v>24</v>
      </c>
      <c r="L170" s="157"/>
      <c r="M170" s="7"/>
      <c r="N170" s="165"/>
      <c r="O170" s="7"/>
      <c r="P170" s="17"/>
      <c r="Q170" s="7"/>
      <c r="R170" s="165"/>
      <c r="S170" s="7"/>
      <c r="T170" s="17"/>
    </row>
    <row r="171" spans="1:20" ht="11.25" customHeight="1" x14ac:dyDescent="0.25">
      <c r="A171" s="10" t="s">
        <v>43</v>
      </c>
      <c r="B171" s="162"/>
      <c r="C171" s="8" t="s">
        <v>24</v>
      </c>
      <c r="D171" s="6"/>
      <c r="E171" s="8" t="s">
        <v>24</v>
      </c>
      <c r="F171" s="8"/>
      <c r="G171" s="8" t="s">
        <v>24</v>
      </c>
      <c r="H171" s="8"/>
      <c r="I171" s="1">
        <v>4646072</v>
      </c>
      <c r="J171" s="6"/>
      <c r="K171" s="51" t="s">
        <v>24</v>
      </c>
      <c r="L171" s="157"/>
      <c r="M171" s="7"/>
      <c r="N171" s="165"/>
      <c r="O171" s="7"/>
      <c r="P171" s="17"/>
      <c r="Q171" s="7"/>
      <c r="R171" s="165"/>
      <c r="S171" s="7"/>
      <c r="T171" s="17"/>
    </row>
    <row r="172" spans="1:20" ht="11.25" customHeight="1" x14ac:dyDescent="0.25">
      <c r="A172" s="10" t="s">
        <v>44</v>
      </c>
      <c r="B172" s="162"/>
      <c r="C172" s="8" t="s">
        <v>24</v>
      </c>
      <c r="D172" s="157"/>
      <c r="E172" s="8" t="s">
        <v>24</v>
      </c>
      <c r="F172" s="8"/>
      <c r="G172" s="8" t="s">
        <v>24</v>
      </c>
      <c r="H172" s="8"/>
      <c r="I172" s="8" t="s">
        <v>24</v>
      </c>
      <c r="J172" s="157"/>
      <c r="K172" s="51" t="s">
        <v>24</v>
      </c>
      <c r="L172" s="157"/>
      <c r="M172" s="7"/>
      <c r="N172" s="165"/>
      <c r="O172" s="7"/>
      <c r="P172" s="17"/>
      <c r="Q172" s="7"/>
      <c r="R172" s="165"/>
      <c r="S172" s="7"/>
      <c r="T172" s="17"/>
    </row>
    <row r="173" spans="1:20" ht="11.25" customHeight="1" x14ac:dyDescent="0.25">
      <c r="A173" s="10" t="s">
        <v>45</v>
      </c>
      <c r="B173" s="162"/>
      <c r="C173" s="8" t="s">
        <v>24</v>
      </c>
      <c r="D173" s="8"/>
      <c r="E173" s="8" t="s">
        <v>24</v>
      </c>
      <c r="F173" s="8"/>
      <c r="G173" s="8" t="s">
        <v>24</v>
      </c>
      <c r="H173" s="8"/>
      <c r="I173" s="8" t="s">
        <v>24</v>
      </c>
      <c r="J173" s="6"/>
      <c r="K173" s="51" t="s">
        <v>24</v>
      </c>
      <c r="L173" s="157"/>
      <c r="M173" s="7"/>
      <c r="N173" s="165"/>
      <c r="O173" s="7"/>
      <c r="P173" s="17"/>
      <c r="Q173" s="7"/>
      <c r="R173" s="165"/>
      <c r="S173" s="7"/>
      <c r="T173" s="17"/>
    </row>
    <row r="174" spans="1:20" ht="11.25" customHeight="1" x14ac:dyDescent="0.25">
      <c r="A174" s="10" t="s">
        <v>46</v>
      </c>
      <c r="B174" s="162"/>
      <c r="C174" s="1">
        <v>217</v>
      </c>
      <c r="D174" s="6"/>
      <c r="E174" s="1">
        <v>12642</v>
      </c>
      <c r="F174" s="12"/>
      <c r="G174" s="1">
        <v>17840</v>
      </c>
      <c r="H174" s="12"/>
      <c r="I174" s="1">
        <v>55700</v>
      </c>
      <c r="J174" s="6"/>
      <c r="K174" s="51" t="s">
        <v>24</v>
      </c>
      <c r="L174" s="6"/>
      <c r="M174" s="7"/>
      <c r="N174" s="165"/>
      <c r="O174" s="7"/>
      <c r="P174" s="17"/>
      <c r="Q174" s="7"/>
      <c r="R174" s="165"/>
      <c r="S174" s="7"/>
      <c r="T174" s="17"/>
    </row>
    <row r="175" spans="1:20" ht="11.25" customHeight="1" x14ac:dyDescent="0.25">
      <c r="A175" s="10" t="s">
        <v>47</v>
      </c>
      <c r="B175" s="162"/>
      <c r="C175" s="8" t="s">
        <v>24</v>
      </c>
      <c r="D175" s="8"/>
      <c r="E175" s="8" t="s">
        <v>24</v>
      </c>
      <c r="F175" s="8"/>
      <c r="G175" s="1">
        <v>6000</v>
      </c>
      <c r="H175" s="6" t="s">
        <v>25</v>
      </c>
      <c r="I175" s="1">
        <v>5000</v>
      </c>
      <c r="J175" s="6" t="s">
        <v>25</v>
      </c>
      <c r="K175" s="51" t="s">
        <v>24</v>
      </c>
      <c r="L175" s="157"/>
      <c r="M175" s="7"/>
      <c r="N175" s="165"/>
      <c r="O175" s="7"/>
      <c r="P175" s="17"/>
      <c r="Q175" s="7"/>
      <c r="R175" s="165"/>
      <c r="S175" s="7"/>
      <c r="T175" s="17"/>
    </row>
    <row r="176" spans="1:20" ht="11.25" customHeight="1" x14ac:dyDescent="0.25">
      <c r="A176" s="10" t="s">
        <v>48</v>
      </c>
      <c r="B176" s="162"/>
      <c r="C176" s="8" t="s">
        <v>24</v>
      </c>
      <c r="D176" s="8"/>
      <c r="E176" s="1">
        <v>37500</v>
      </c>
      <c r="F176" s="6"/>
      <c r="G176" s="1">
        <v>23175</v>
      </c>
      <c r="H176" s="6"/>
      <c r="I176" s="1">
        <v>37500</v>
      </c>
      <c r="J176" s="6"/>
      <c r="K176" s="51" t="s">
        <v>24</v>
      </c>
      <c r="L176" s="6"/>
      <c r="M176" s="7"/>
      <c r="N176" s="165"/>
      <c r="O176" s="7"/>
      <c r="P176" s="17"/>
      <c r="Q176" s="7"/>
      <c r="R176" s="165"/>
      <c r="S176" s="7"/>
      <c r="T176" s="17"/>
    </row>
    <row r="177" spans="1:22" ht="11.25" customHeight="1" x14ac:dyDescent="0.25">
      <c r="A177" s="10" t="s">
        <v>49</v>
      </c>
      <c r="B177" s="162"/>
      <c r="C177" s="8" t="s">
        <v>24</v>
      </c>
      <c r="D177" s="8"/>
      <c r="E177" s="8" t="s">
        <v>24</v>
      </c>
      <c r="F177" s="8"/>
      <c r="G177" s="8" t="s">
        <v>24</v>
      </c>
      <c r="H177" s="8"/>
      <c r="I177" s="1">
        <v>16000</v>
      </c>
      <c r="J177" s="6" t="s">
        <v>25</v>
      </c>
      <c r="K177" s="51" t="s">
        <v>24</v>
      </c>
      <c r="L177" s="157"/>
      <c r="M177" s="7"/>
      <c r="N177" s="165"/>
      <c r="O177" s="7"/>
      <c r="P177" s="17"/>
      <c r="Q177" s="7"/>
      <c r="R177" s="165"/>
      <c r="S177" s="7"/>
      <c r="T177" s="17"/>
    </row>
    <row r="178" spans="1:22" ht="11.25" customHeight="1" x14ac:dyDescent="0.25">
      <c r="A178" s="10" t="s">
        <v>50</v>
      </c>
      <c r="B178" s="162"/>
      <c r="C178" s="59">
        <v>200</v>
      </c>
      <c r="D178" s="5" t="s">
        <v>25</v>
      </c>
      <c r="E178" s="59">
        <v>23200</v>
      </c>
      <c r="F178" s="60" t="s">
        <v>25</v>
      </c>
      <c r="G178" s="59">
        <v>581000</v>
      </c>
      <c r="H178" s="16" t="s">
        <v>25</v>
      </c>
      <c r="I178" s="59">
        <v>141000</v>
      </c>
      <c r="J178" s="5" t="s">
        <v>25</v>
      </c>
      <c r="K178" s="55" t="s">
        <v>24</v>
      </c>
      <c r="L178" s="5"/>
      <c r="M178" s="7"/>
      <c r="N178" s="165"/>
      <c r="O178" s="7"/>
      <c r="P178" s="17"/>
      <c r="Q178" s="7"/>
      <c r="R178" s="165"/>
      <c r="S178" s="7"/>
      <c r="T178" s="17"/>
    </row>
    <row r="179" spans="1:22" ht="11.25" customHeight="1" x14ac:dyDescent="0.25">
      <c r="A179" s="24" t="s">
        <v>51</v>
      </c>
      <c r="B179" s="162"/>
      <c r="C179" s="1">
        <v>160000</v>
      </c>
      <c r="D179" s="15" t="s">
        <v>25</v>
      </c>
      <c r="E179" s="134">
        <v>398000</v>
      </c>
      <c r="F179" s="15" t="s">
        <v>25</v>
      </c>
      <c r="G179" s="1">
        <v>4870000</v>
      </c>
      <c r="H179" s="179" t="s">
        <v>25</v>
      </c>
      <c r="I179" s="1">
        <v>7480000</v>
      </c>
      <c r="J179" s="15" t="s">
        <v>25</v>
      </c>
      <c r="K179" s="1">
        <v>9078</v>
      </c>
      <c r="L179" s="157"/>
      <c r="M179" s="7"/>
      <c r="N179" s="165"/>
      <c r="O179" s="7"/>
      <c r="P179" s="17"/>
      <c r="Q179" s="7"/>
      <c r="R179" s="165"/>
      <c r="S179" s="7"/>
      <c r="T179" s="17"/>
    </row>
    <row r="180" spans="1:22" ht="11.25" customHeight="1" x14ac:dyDescent="0.25">
      <c r="A180" s="24" t="s">
        <v>52</v>
      </c>
      <c r="B180" s="162"/>
      <c r="C180" s="19">
        <f>C179/C183</f>
        <v>1.7601760176017601E-2</v>
      </c>
      <c r="D180" s="157"/>
      <c r="E180" s="19">
        <f>E179/E183</f>
        <v>0.1259493670886076</v>
      </c>
      <c r="F180" s="157"/>
      <c r="G180" s="19">
        <f>G179/G183</f>
        <v>0.15608974358974359</v>
      </c>
      <c r="H180" s="157"/>
      <c r="I180" s="19">
        <f>I179/I183</f>
        <v>0.21189801699716715</v>
      </c>
      <c r="J180" s="157"/>
      <c r="K180" s="19">
        <f>K179/K183</f>
        <v>0.16268817204301075</v>
      </c>
      <c r="L180" s="157"/>
      <c r="M180" s="7"/>
      <c r="N180" s="165"/>
      <c r="O180" s="7"/>
      <c r="P180" s="17"/>
      <c r="Q180" s="7"/>
      <c r="R180" s="165"/>
      <c r="S180" s="7"/>
      <c r="T180" s="17"/>
    </row>
    <row r="181" spans="1:22" ht="11.25" customHeight="1" x14ac:dyDescent="0.25">
      <c r="A181" s="10" t="s">
        <v>53</v>
      </c>
      <c r="B181" s="162"/>
      <c r="C181" s="1">
        <v>686000</v>
      </c>
      <c r="D181" s="4" t="s">
        <v>87</v>
      </c>
      <c r="E181" s="1">
        <v>30800</v>
      </c>
      <c r="F181" s="4" t="s">
        <v>87</v>
      </c>
      <c r="G181" s="1">
        <v>4000000</v>
      </c>
      <c r="H181" s="4" t="s">
        <v>87</v>
      </c>
      <c r="I181" s="1">
        <v>6190000</v>
      </c>
      <c r="J181" s="4" t="s">
        <v>88</v>
      </c>
      <c r="K181" s="1">
        <v>582</v>
      </c>
      <c r="L181" s="4" t="s">
        <v>141</v>
      </c>
      <c r="M181" s="7"/>
      <c r="N181" s="165"/>
      <c r="O181" s="7"/>
      <c r="P181" s="17"/>
      <c r="Q181" s="7"/>
      <c r="R181" s="165"/>
      <c r="S181" s="7"/>
      <c r="T181" s="17"/>
    </row>
    <row r="182" spans="1:22" ht="11.25" customHeight="1" x14ac:dyDescent="0.25">
      <c r="A182" s="24" t="s">
        <v>52</v>
      </c>
      <c r="B182" s="162"/>
      <c r="C182" s="19">
        <f>C181/C183</f>
        <v>7.5467546754675471E-2</v>
      </c>
      <c r="D182" s="157"/>
      <c r="E182" s="19">
        <f>E181/E183</f>
        <v>9.7468354430379749E-3</v>
      </c>
      <c r="F182" s="157"/>
      <c r="G182" s="19">
        <f>G181/G183</f>
        <v>0.12820512820512819</v>
      </c>
      <c r="H182" s="157"/>
      <c r="I182" s="19">
        <f>I181/I183</f>
        <v>0.17535410764872522</v>
      </c>
      <c r="J182" s="157"/>
      <c r="K182" s="19">
        <f>K181/K183</f>
        <v>1.043010752688172E-2</v>
      </c>
      <c r="L182" s="157"/>
      <c r="M182" s="7"/>
      <c r="N182" s="165"/>
      <c r="O182" s="7"/>
      <c r="P182" s="17"/>
      <c r="Q182" s="7"/>
      <c r="R182" s="165"/>
      <c r="S182" s="7"/>
      <c r="T182" s="17"/>
    </row>
    <row r="183" spans="1:22" ht="11.25" customHeight="1" x14ac:dyDescent="0.25">
      <c r="A183" s="24" t="s">
        <v>55</v>
      </c>
      <c r="B183" s="61"/>
      <c r="C183" s="59">
        <v>9090000</v>
      </c>
      <c r="D183" s="14"/>
      <c r="E183" s="59">
        <v>3160000</v>
      </c>
      <c r="F183" s="158"/>
      <c r="G183" s="59">
        <v>31200000</v>
      </c>
      <c r="H183" s="169"/>
      <c r="I183" s="59">
        <v>35300000</v>
      </c>
      <c r="J183" s="5"/>
      <c r="K183" s="59">
        <v>55800</v>
      </c>
      <c r="L183" s="158"/>
      <c r="M183" s="7"/>
      <c r="N183" s="165"/>
      <c r="O183" s="7"/>
      <c r="P183" s="17"/>
      <c r="Q183" s="7"/>
      <c r="R183" s="165"/>
      <c r="S183" s="7"/>
      <c r="T183" s="17"/>
    </row>
    <row r="184" spans="1:22" ht="11.25" customHeight="1" x14ac:dyDescent="0.25">
      <c r="A184" s="236" t="s">
        <v>56</v>
      </c>
      <c r="B184" s="236"/>
      <c r="C184" s="236"/>
      <c r="D184" s="236"/>
      <c r="E184" s="236"/>
      <c r="F184" s="236"/>
      <c r="G184" s="236"/>
      <c r="H184" s="236"/>
      <c r="I184" s="236"/>
      <c r="J184" s="236"/>
      <c r="K184" s="236"/>
      <c r="L184" s="236"/>
      <c r="M184" s="178"/>
      <c r="N184" s="178"/>
      <c r="O184" s="178"/>
      <c r="P184" s="178"/>
      <c r="Q184" s="66"/>
      <c r="R184" s="66"/>
      <c r="S184" s="66"/>
      <c r="T184" s="66"/>
      <c r="U184" s="66"/>
      <c r="V184" s="66"/>
    </row>
    <row r="185" spans="1:22" ht="11.25" customHeight="1" x14ac:dyDescent="0.25">
      <c r="A185" s="220" t="s">
        <v>57</v>
      </c>
      <c r="B185" s="220"/>
      <c r="C185" s="220"/>
      <c r="D185" s="220"/>
      <c r="E185" s="220"/>
      <c r="F185" s="220"/>
      <c r="G185" s="220"/>
      <c r="H185" s="220"/>
      <c r="I185" s="220"/>
      <c r="J185" s="220"/>
      <c r="K185" s="220"/>
      <c r="L185" s="220"/>
      <c r="M185" s="171"/>
      <c r="N185" s="171"/>
      <c r="O185" s="63"/>
      <c r="P185" s="63"/>
      <c r="Q185" s="9"/>
      <c r="R185" s="174"/>
      <c r="S185" s="57"/>
      <c r="T185" s="174"/>
      <c r="U185" s="57"/>
      <c r="V185" s="174"/>
    </row>
    <row r="186" spans="1:22" ht="11.25" customHeight="1" x14ac:dyDescent="0.25">
      <c r="A186" s="220" t="s">
        <v>0</v>
      </c>
      <c r="B186" s="220"/>
      <c r="C186" s="220"/>
      <c r="D186" s="220"/>
      <c r="E186" s="220"/>
      <c r="F186" s="220"/>
      <c r="G186" s="220"/>
      <c r="H186" s="220"/>
      <c r="I186" s="220"/>
      <c r="J186" s="220"/>
      <c r="K186" s="220"/>
      <c r="L186" s="220"/>
      <c r="M186" s="171"/>
      <c r="N186" s="171"/>
      <c r="O186" s="63"/>
      <c r="P186" s="63"/>
      <c r="Q186" s="9"/>
      <c r="R186" s="174"/>
      <c r="S186" s="57"/>
      <c r="T186" s="174"/>
      <c r="U186" s="57"/>
      <c r="V186" s="174"/>
    </row>
    <row r="187" spans="1:22" ht="11.25" customHeight="1" x14ac:dyDescent="0.25">
      <c r="A187" s="223"/>
      <c r="B187" s="223"/>
      <c r="C187" s="223"/>
      <c r="D187" s="223"/>
      <c r="E187" s="223"/>
      <c r="F187" s="223"/>
      <c r="G187" s="223"/>
      <c r="H187" s="223"/>
      <c r="I187" s="223"/>
      <c r="J187" s="223"/>
      <c r="K187" s="223"/>
      <c r="L187" s="223"/>
      <c r="M187" s="175"/>
      <c r="N187" s="175"/>
      <c r="O187" s="65"/>
      <c r="P187" s="65"/>
      <c r="Q187" s="9"/>
      <c r="R187" s="174"/>
      <c r="S187" s="57"/>
      <c r="T187" s="174"/>
      <c r="U187" s="57"/>
      <c r="V187" s="174"/>
    </row>
    <row r="188" spans="1:22" ht="11.25" customHeight="1" x14ac:dyDescent="0.25">
      <c r="A188" s="238" t="s">
        <v>153</v>
      </c>
      <c r="B188" s="238"/>
      <c r="C188" s="238"/>
      <c r="D188" s="238"/>
      <c r="E188" s="238"/>
      <c r="F188" s="238"/>
      <c r="G188" s="238"/>
      <c r="H188" s="238"/>
      <c r="I188" s="238"/>
      <c r="J188" s="238"/>
      <c r="K188" s="238"/>
      <c r="L188" s="238"/>
      <c r="M188" s="132"/>
      <c r="N188" s="132"/>
      <c r="O188" s="131"/>
      <c r="P188" s="131"/>
      <c r="Q188" s="131"/>
      <c r="R188" s="131"/>
      <c r="S188" s="131"/>
      <c r="T188" s="131"/>
      <c r="U188" s="131"/>
      <c r="V188" s="131"/>
    </row>
    <row r="189" spans="1:22" ht="34.15" customHeight="1" x14ac:dyDescent="0.25">
      <c r="A189" s="244" t="s">
        <v>129</v>
      </c>
      <c r="B189" s="244"/>
      <c r="C189" s="244"/>
      <c r="D189" s="244"/>
      <c r="E189" s="244"/>
      <c r="F189" s="244"/>
      <c r="G189" s="244"/>
      <c r="H189" s="244"/>
      <c r="I189" s="244"/>
      <c r="J189" s="244"/>
      <c r="K189" s="244"/>
      <c r="L189" s="244"/>
      <c r="M189" s="136"/>
      <c r="N189" s="136"/>
      <c r="O189" s="137"/>
      <c r="P189" s="137"/>
      <c r="Q189" s="137"/>
      <c r="R189" s="137"/>
      <c r="S189" s="137"/>
      <c r="T189" s="137"/>
      <c r="U189" s="137"/>
      <c r="V189" s="137"/>
    </row>
    <row r="190" spans="1:22" ht="34.15" customHeight="1" x14ac:dyDescent="0.25">
      <c r="A190" s="243" t="s">
        <v>152</v>
      </c>
      <c r="B190" s="243"/>
      <c r="C190" s="243"/>
      <c r="D190" s="243"/>
      <c r="E190" s="243"/>
      <c r="F190" s="243"/>
      <c r="G190" s="243"/>
      <c r="H190" s="243"/>
      <c r="I190" s="243"/>
      <c r="J190" s="243"/>
      <c r="K190" s="243"/>
      <c r="L190" s="243"/>
      <c r="M190" s="136"/>
      <c r="N190" s="136"/>
      <c r="O190" s="67"/>
      <c r="P190" s="67"/>
      <c r="Q190" s="67"/>
      <c r="R190" s="67"/>
      <c r="S190" s="67"/>
      <c r="T190" s="67"/>
      <c r="U190" s="67"/>
      <c r="V190" s="67"/>
    </row>
    <row r="191" spans="1:22" ht="11.25" customHeight="1" x14ac:dyDescent="0.25">
      <c r="A191" s="227" t="s">
        <v>154</v>
      </c>
      <c r="B191" s="227"/>
      <c r="C191" s="227"/>
      <c r="D191" s="227"/>
      <c r="E191" s="227"/>
      <c r="F191" s="227"/>
      <c r="G191" s="227"/>
      <c r="H191" s="227"/>
      <c r="I191" s="227"/>
      <c r="J191" s="227"/>
      <c r="K191" s="227"/>
      <c r="L191" s="227"/>
      <c r="M191" s="133"/>
      <c r="N191" s="133"/>
      <c r="O191" s="131"/>
      <c r="P191" s="131"/>
      <c r="Q191" s="131"/>
      <c r="R191" s="131"/>
      <c r="S191" s="131"/>
      <c r="T191" s="131"/>
      <c r="U191" s="131"/>
      <c r="V191" s="131"/>
    </row>
    <row r="192" spans="1:22" ht="11.25" customHeight="1" x14ac:dyDescent="0.25">
      <c r="A192" s="227" t="s">
        <v>155</v>
      </c>
      <c r="B192" s="227"/>
      <c r="C192" s="227"/>
      <c r="D192" s="227"/>
      <c r="E192" s="227"/>
      <c r="F192" s="227"/>
      <c r="G192" s="227"/>
      <c r="H192" s="227"/>
      <c r="I192" s="227"/>
      <c r="J192" s="227"/>
      <c r="K192" s="227"/>
      <c r="L192" s="227"/>
      <c r="M192" s="133"/>
      <c r="N192" s="133"/>
      <c r="O192" s="131"/>
      <c r="P192" s="131"/>
      <c r="Q192" s="131"/>
      <c r="R192" s="131"/>
      <c r="S192" s="131"/>
      <c r="T192" s="131"/>
      <c r="U192" s="131"/>
      <c r="V192" s="131"/>
    </row>
    <row r="193" spans="1:22" ht="11.25" customHeight="1" x14ac:dyDescent="0.25">
      <c r="A193" s="242" t="s">
        <v>139</v>
      </c>
      <c r="B193" s="242"/>
      <c r="C193" s="242"/>
      <c r="D193" s="242"/>
      <c r="E193" s="242"/>
      <c r="F193" s="242"/>
      <c r="G193" s="242"/>
      <c r="H193" s="242"/>
      <c r="I193" s="242"/>
      <c r="J193" s="242"/>
      <c r="K193" s="242"/>
      <c r="L193" s="242"/>
      <c r="M193" s="130"/>
      <c r="N193" s="130"/>
      <c r="O193" s="129"/>
      <c r="P193" s="129"/>
      <c r="Q193" s="129"/>
      <c r="R193" s="129"/>
      <c r="S193" s="129"/>
      <c r="T193" s="129"/>
      <c r="U193" s="129"/>
      <c r="V193" s="129"/>
    </row>
    <row r="194" spans="1:22" ht="11.25" customHeight="1" x14ac:dyDescent="0.25">
      <c r="A194" s="242" t="s">
        <v>140</v>
      </c>
      <c r="B194" s="242"/>
      <c r="C194" s="242"/>
      <c r="D194" s="242"/>
      <c r="E194" s="242"/>
      <c r="F194" s="242"/>
      <c r="G194" s="242"/>
      <c r="H194" s="242"/>
      <c r="I194" s="242"/>
      <c r="J194" s="242"/>
      <c r="K194" s="242"/>
      <c r="L194" s="242"/>
      <c r="M194" s="130"/>
      <c r="N194" s="130"/>
      <c r="O194" s="129"/>
      <c r="P194" s="129"/>
      <c r="Q194" s="129"/>
      <c r="R194" s="129"/>
      <c r="S194" s="129"/>
      <c r="T194" s="129"/>
      <c r="U194" s="129"/>
      <c r="V194" s="129"/>
    </row>
    <row r="195" spans="1:22" ht="11.25" customHeight="1" x14ac:dyDescent="0.25">
      <c r="A195" s="242" t="s">
        <v>156</v>
      </c>
      <c r="B195" s="242"/>
      <c r="C195" s="242"/>
      <c r="D195" s="242"/>
      <c r="E195" s="242"/>
      <c r="F195" s="242"/>
      <c r="G195" s="242"/>
      <c r="H195" s="242"/>
      <c r="I195" s="242"/>
      <c r="J195" s="242"/>
      <c r="K195" s="242"/>
      <c r="L195" s="242"/>
      <c r="M195" s="130"/>
      <c r="N195" s="130"/>
      <c r="O195" s="129"/>
      <c r="P195" s="129"/>
      <c r="Q195" s="129"/>
      <c r="R195" s="129"/>
      <c r="S195" s="129"/>
      <c r="T195" s="129"/>
      <c r="U195" s="129"/>
      <c r="V195" s="129"/>
    </row>
    <row r="196" spans="1:22" ht="11.25" customHeight="1" x14ac:dyDescent="0.25">
      <c r="A196" s="162"/>
      <c r="B196" s="162"/>
      <c r="C196" s="7"/>
      <c r="D196" s="165"/>
      <c r="E196" s="7"/>
      <c r="F196" s="165"/>
      <c r="G196" s="7"/>
      <c r="H196" s="16"/>
      <c r="I196" s="1"/>
      <c r="J196" s="8"/>
      <c r="K196" s="7"/>
      <c r="L196" s="165"/>
      <c r="M196" s="7"/>
      <c r="N196" s="17"/>
      <c r="O196" s="7"/>
      <c r="P196" s="165"/>
      <c r="Q196" s="7"/>
      <c r="R196" s="17"/>
      <c r="S196" s="7"/>
      <c r="T196" s="165"/>
      <c r="U196" s="7"/>
      <c r="V196" s="17"/>
    </row>
    <row r="197" spans="1:22" ht="11.25" customHeight="1" x14ac:dyDescent="0.25">
      <c r="A197" s="162"/>
      <c r="B197" s="162"/>
      <c r="C197" s="7"/>
      <c r="D197" s="165"/>
      <c r="E197" s="7"/>
      <c r="F197" s="165"/>
      <c r="G197" s="7"/>
      <c r="H197" s="16"/>
      <c r="I197" s="1"/>
      <c r="J197" s="8"/>
      <c r="K197" s="7"/>
      <c r="L197" s="165"/>
      <c r="M197" s="7"/>
      <c r="N197" s="17"/>
      <c r="O197" s="7"/>
      <c r="P197" s="165"/>
      <c r="Q197" s="7"/>
      <c r="R197" s="17"/>
      <c r="S197" s="7"/>
      <c r="T197" s="165"/>
      <c r="U197" s="7"/>
      <c r="V197" s="17"/>
    </row>
    <row r="198" spans="1:22" ht="11.25" customHeight="1" x14ac:dyDescent="0.25">
      <c r="A198" s="162"/>
      <c r="B198" s="162"/>
      <c r="C198" s="7"/>
      <c r="D198" s="165"/>
      <c r="E198" s="7"/>
      <c r="F198" s="165"/>
      <c r="G198" s="7"/>
      <c r="H198" s="16"/>
      <c r="I198" s="1"/>
      <c r="J198" s="8"/>
      <c r="K198" s="7"/>
      <c r="L198" s="165"/>
      <c r="M198" s="7"/>
      <c r="N198" s="17"/>
      <c r="O198" s="7"/>
      <c r="P198" s="165"/>
      <c r="Q198" s="7"/>
      <c r="R198" s="17"/>
      <c r="S198" s="7"/>
      <c r="T198" s="165"/>
      <c r="U198" s="7"/>
      <c r="V198" s="17"/>
    </row>
    <row r="199" spans="1:22" ht="11.25" customHeight="1" x14ac:dyDescent="0.25">
      <c r="A199" s="162"/>
      <c r="B199" s="162"/>
      <c r="C199" s="157"/>
      <c r="D199" s="157"/>
      <c r="E199" s="162"/>
      <c r="F199" s="157"/>
      <c r="G199" s="162"/>
      <c r="H199" s="157"/>
      <c r="I199" s="162"/>
      <c r="J199" s="157"/>
      <c r="K199" s="162"/>
      <c r="L199" s="157"/>
      <c r="M199" s="162"/>
      <c r="N199" s="157"/>
      <c r="O199" s="162"/>
      <c r="P199" s="157"/>
      <c r="Q199" s="162"/>
      <c r="R199" s="157"/>
      <c r="S199" s="162"/>
      <c r="T199" s="157"/>
      <c r="U199" s="162"/>
      <c r="V199" s="157"/>
    </row>
    <row r="200" spans="1:22" ht="11.25" customHeight="1" x14ac:dyDescent="0.25">
      <c r="A200" s="162"/>
      <c r="B200" s="162"/>
      <c r="C200" s="157"/>
      <c r="D200" s="157"/>
      <c r="E200" s="162"/>
      <c r="F200" s="157"/>
      <c r="G200" s="162"/>
      <c r="H200" s="157"/>
      <c r="I200" s="162"/>
      <c r="J200" s="157"/>
      <c r="K200" s="162"/>
      <c r="L200" s="157"/>
      <c r="M200" s="162"/>
      <c r="N200" s="157"/>
      <c r="O200" s="162"/>
      <c r="P200" s="157"/>
      <c r="Q200" s="162"/>
      <c r="R200" s="157"/>
      <c r="S200" s="162"/>
      <c r="T200" s="157"/>
      <c r="U200" s="162"/>
      <c r="V200" s="157"/>
    </row>
    <row r="201" spans="1:22" ht="11.25" customHeight="1" x14ac:dyDescent="0.25">
      <c r="A201" s="162"/>
      <c r="B201" s="162"/>
      <c r="C201" s="157"/>
      <c r="D201" s="157"/>
      <c r="E201" s="162"/>
      <c r="F201" s="157"/>
      <c r="G201" s="162"/>
      <c r="H201" s="157"/>
      <c r="I201" s="162"/>
      <c r="J201" s="157"/>
      <c r="K201" s="162"/>
      <c r="L201" s="157"/>
      <c r="M201" s="162"/>
      <c r="N201" s="157"/>
      <c r="O201" s="162"/>
      <c r="P201" s="157"/>
      <c r="Q201" s="162"/>
      <c r="R201" s="157"/>
      <c r="S201" s="162"/>
      <c r="T201" s="157"/>
      <c r="U201" s="162"/>
      <c r="V201" s="157"/>
    </row>
    <row r="202" spans="1:22" ht="11.25" customHeight="1" x14ac:dyDescent="0.25">
      <c r="A202" s="162"/>
      <c r="B202" s="162"/>
      <c r="C202" s="157"/>
      <c r="D202" s="157"/>
      <c r="E202" s="162"/>
      <c r="F202" s="157"/>
      <c r="G202" s="162"/>
      <c r="H202" s="157"/>
      <c r="I202" s="162"/>
      <c r="J202" s="157"/>
      <c r="K202" s="162"/>
      <c r="L202" s="157"/>
      <c r="M202" s="162"/>
      <c r="N202" s="157"/>
      <c r="O202" s="162"/>
      <c r="P202" s="157"/>
      <c r="Q202" s="162"/>
      <c r="R202" s="157"/>
      <c r="S202" s="162"/>
      <c r="T202" s="157"/>
      <c r="U202" s="162"/>
      <c r="V202" s="157"/>
    </row>
    <row r="203" spans="1:22" ht="11.25" customHeight="1" x14ac:dyDescent="0.25">
      <c r="A203" s="162"/>
      <c r="B203" s="162"/>
      <c r="C203" s="157"/>
      <c r="D203" s="157"/>
      <c r="E203" s="162"/>
      <c r="F203" s="157"/>
      <c r="G203" s="162"/>
      <c r="H203" s="157"/>
      <c r="I203" s="162"/>
      <c r="J203" s="157"/>
      <c r="K203" s="162"/>
      <c r="L203" s="157"/>
      <c r="M203" s="162"/>
      <c r="N203" s="157"/>
      <c r="O203" s="162"/>
      <c r="P203" s="157"/>
      <c r="Q203" s="162"/>
      <c r="R203" s="157"/>
      <c r="S203" s="162"/>
      <c r="T203" s="157"/>
      <c r="U203" s="162"/>
      <c r="V203" s="157"/>
    </row>
    <row r="204" spans="1:22" ht="11.25" customHeight="1" x14ac:dyDescent="0.25">
      <c r="A204" s="162"/>
      <c r="B204" s="162"/>
      <c r="C204" s="157"/>
      <c r="D204" s="157"/>
      <c r="E204" s="162"/>
      <c r="F204" s="157"/>
      <c r="G204" s="162"/>
      <c r="H204" s="157"/>
      <c r="I204" s="162"/>
      <c r="J204" s="157"/>
      <c r="K204" s="162"/>
      <c r="L204" s="157"/>
      <c r="M204" s="162"/>
      <c r="N204" s="157"/>
      <c r="O204" s="162"/>
      <c r="P204" s="157"/>
      <c r="Q204" s="162"/>
      <c r="R204" s="157"/>
      <c r="S204" s="162"/>
      <c r="T204" s="157"/>
      <c r="U204" s="162"/>
      <c r="V204" s="157"/>
    </row>
    <row r="205" spans="1:22" ht="11.25" customHeight="1" x14ac:dyDescent="0.25">
      <c r="A205" s="162"/>
      <c r="B205" s="162"/>
      <c r="C205" s="157"/>
      <c r="D205" s="157"/>
      <c r="E205" s="162"/>
      <c r="F205" s="157"/>
      <c r="G205" s="162"/>
      <c r="H205" s="157"/>
      <c r="I205" s="162"/>
      <c r="J205" s="157"/>
      <c r="K205" s="162"/>
      <c r="L205" s="157"/>
      <c r="M205" s="162"/>
      <c r="N205" s="157"/>
      <c r="O205" s="162"/>
      <c r="P205" s="157"/>
      <c r="Q205" s="162"/>
      <c r="R205" s="157"/>
      <c r="S205" s="162"/>
      <c r="T205" s="157"/>
      <c r="U205" s="162"/>
      <c r="V205" s="157"/>
    </row>
    <row r="206" spans="1:22" ht="11.25" customHeight="1" x14ac:dyDescent="0.25">
      <c r="A206" s="162"/>
      <c r="B206" s="162"/>
      <c r="C206" s="157"/>
      <c r="D206" s="157"/>
      <c r="E206" s="162"/>
      <c r="F206" s="157"/>
      <c r="G206" s="162"/>
      <c r="H206" s="157"/>
      <c r="I206" s="162"/>
      <c r="J206" s="157"/>
      <c r="K206" s="162"/>
      <c r="L206" s="157"/>
      <c r="M206" s="162"/>
      <c r="N206" s="157"/>
      <c r="O206" s="162"/>
      <c r="P206" s="157"/>
      <c r="Q206" s="162"/>
      <c r="R206" s="157"/>
      <c r="S206" s="162"/>
      <c r="T206" s="157"/>
      <c r="U206" s="162"/>
      <c r="V206" s="157"/>
    </row>
    <row r="207" spans="1:22" ht="11.25" customHeight="1" x14ac:dyDescent="0.25">
      <c r="A207" s="162"/>
      <c r="B207" s="162"/>
      <c r="C207" s="157"/>
      <c r="D207" s="157"/>
      <c r="E207" s="162"/>
      <c r="F207" s="157"/>
      <c r="G207" s="162"/>
      <c r="H207" s="157"/>
      <c r="I207" s="162"/>
      <c r="J207" s="157"/>
      <c r="K207" s="162"/>
      <c r="L207" s="157"/>
      <c r="M207" s="162"/>
      <c r="N207" s="157"/>
      <c r="O207" s="162"/>
      <c r="P207" s="157"/>
      <c r="Q207" s="162"/>
      <c r="R207" s="157"/>
      <c r="S207" s="162"/>
      <c r="T207" s="157"/>
      <c r="U207" s="162"/>
      <c r="V207" s="157"/>
    </row>
    <row r="208" spans="1:22" ht="11.25" customHeight="1" x14ac:dyDescent="0.25">
      <c r="A208" s="162"/>
      <c r="B208" s="162"/>
      <c r="C208" s="157"/>
      <c r="D208" s="157"/>
      <c r="E208" s="162"/>
      <c r="F208" s="157"/>
      <c r="G208" s="162"/>
      <c r="H208" s="157"/>
      <c r="I208" s="162"/>
      <c r="J208" s="157"/>
      <c r="K208" s="162"/>
      <c r="L208" s="157"/>
      <c r="M208" s="162"/>
      <c r="N208" s="157"/>
      <c r="O208" s="162"/>
      <c r="P208" s="157"/>
      <c r="Q208" s="162"/>
      <c r="R208" s="157"/>
      <c r="S208" s="162"/>
      <c r="T208" s="157"/>
      <c r="U208" s="162"/>
      <c r="V208" s="157"/>
    </row>
    <row r="209" spans="1:22" ht="11.25" customHeight="1" x14ac:dyDescent="0.25">
      <c r="A209" s="162"/>
      <c r="B209" s="162"/>
      <c r="C209" s="157"/>
      <c r="D209" s="157"/>
      <c r="E209" s="162"/>
      <c r="F209" s="157"/>
      <c r="G209" s="162"/>
      <c r="H209" s="157"/>
      <c r="I209" s="162"/>
      <c r="J209" s="157"/>
      <c r="K209" s="162"/>
      <c r="L209" s="157"/>
      <c r="M209" s="162"/>
      <c r="N209" s="157"/>
      <c r="O209" s="162"/>
      <c r="P209" s="157"/>
      <c r="Q209" s="162"/>
      <c r="R209" s="157"/>
      <c r="S209" s="162"/>
      <c r="T209" s="157"/>
      <c r="U209" s="162"/>
      <c r="V209" s="157"/>
    </row>
    <row r="210" spans="1:22" ht="11.25" customHeight="1" x14ac:dyDescent="0.25">
      <c r="A210" s="162"/>
      <c r="B210" s="162"/>
      <c r="C210" s="157"/>
      <c r="D210" s="157"/>
      <c r="E210" s="162"/>
      <c r="F210" s="157"/>
      <c r="G210" s="162"/>
      <c r="H210" s="157"/>
      <c r="I210" s="162"/>
      <c r="J210" s="157"/>
      <c r="K210" s="162"/>
      <c r="L210" s="157"/>
      <c r="M210" s="162"/>
      <c r="N210" s="157"/>
      <c r="O210" s="162"/>
      <c r="P210" s="157"/>
      <c r="Q210" s="162"/>
      <c r="R210" s="157"/>
      <c r="S210" s="162"/>
      <c r="T210" s="157"/>
      <c r="U210" s="162"/>
      <c r="V210" s="157"/>
    </row>
    <row r="211" spans="1:22" ht="11.25" customHeight="1" x14ac:dyDescent="0.25">
      <c r="A211" s="162"/>
      <c r="B211" s="162"/>
      <c r="C211" s="157"/>
      <c r="D211" s="157"/>
      <c r="E211" s="162"/>
      <c r="F211" s="157"/>
      <c r="G211" s="162"/>
      <c r="H211" s="157"/>
      <c r="I211" s="162"/>
      <c r="J211" s="157"/>
      <c r="K211" s="162"/>
      <c r="L211" s="157"/>
      <c r="M211" s="162"/>
      <c r="N211" s="157"/>
      <c r="O211" s="162"/>
      <c r="P211" s="157"/>
      <c r="Q211" s="162"/>
      <c r="R211" s="157"/>
      <c r="S211" s="162"/>
      <c r="T211" s="157"/>
      <c r="U211" s="162"/>
      <c r="V211" s="157"/>
    </row>
    <row r="212" spans="1:22" ht="11.25" customHeight="1" x14ac:dyDescent="0.25">
      <c r="A212" s="162"/>
      <c r="B212" s="162"/>
      <c r="C212" s="157"/>
      <c r="D212" s="157"/>
      <c r="E212" s="162"/>
      <c r="F212" s="157"/>
      <c r="G212" s="162"/>
      <c r="H212" s="157"/>
      <c r="I212" s="162"/>
      <c r="J212" s="157"/>
      <c r="K212" s="162"/>
      <c r="L212" s="157"/>
      <c r="M212" s="162"/>
      <c r="N212" s="157"/>
      <c r="O212" s="162"/>
      <c r="P212" s="157"/>
      <c r="Q212" s="162"/>
      <c r="R212" s="157"/>
      <c r="S212" s="162"/>
      <c r="T212" s="157"/>
      <c r="U212" s="162"/>
      <c r="V212" s="157"/>
    </row>
    <row r="213" spans="1:22" ht="11.25" customHeight="1" x14ac:dyDescent="0.25">
      <c r="A213" s="162"/>
      <c r="B213" s="162"/>
      <c r="C213" s="157"/>
      <c r="D213" s="157"/>
      <c r="E213" s="162"/>
      <c r="F213" s="157"/>
      <c r="G213" s="162"/>
      <c r="H213" s="157"/>
      <c r="I213" s="162"/>
      <c r="J213" s="157"/>
      <c r="K213" s="162"/>
      <c r="L213" s="157"/>
      <c r="M213" s="162"/>
      <c r="N213" s="157"/>
      <c r="O213" s="162"/>
      <c r="P213" s="157"/>
      <c r="Q213" s="162"/>
      <c r="R213" s="157"/>
      <c r="S213" s="162"/>
      <c r="T213" s="157"/>
      <c r="U213" s="162"/>
      <c r="V213" s="157"/>
    </row>
    <row r="214" spans="1:22" ht="11.25" customHeight="1" x14ac:dyDescent="0.25">
      <c r="A214" s="162"/>
      <c r="B214" s="162"/>
      <c r="C214" s="157"/>
      <c r="D214" s="157"/>
      <c r="E214" s="162"/>
      <c r="F214" s="157"/>
      <c r="G214" s="162"/>
      <c r="H214" s="157"/>
      <c r="I214" s="162"/>
      <c r="J214" s="157"/>
      <c r="K214" s="162"/>
      <c r="L214" s="157"/>
      <c r="M214" s="162"/>
      <c r="N214" s="157"/>
      <c r="O214" s="162"/>
      <c r="P214" s="157"/>
      <c r="Q214" s="162"/>
      <c r="R214" s="157"/>
      <c r="S214" s="162"/>
      <c r="T214" s="157"/>
      <c r="U214" s="162"/>
      <c r="V214" s="157"/>
    </row>
    <row r="215" spans="1:22" ht="11.25" customHeight="1" x14ac:dyDescent="0.25">
      <c r="A215" s="162"/>
      <c r="B215" s="162"/>
      <c r="C215" s="157"/>
      <c r="D215" s="157"/>
      <c r="E215" s="162"/>
      <c r="F215" s="157"/>
      <c r="G215" s="162"/>
      <c r="H215" s="157"/>
      <c r="I215" s="162"/>
      <c r="J215" s="157"/>
      <c r="K215" s="162"/>
      <c r="L215" s="157"/>
      <c r="M215" s="162"/>
      <c r="N215" s="157"/>
      <c r="O215" s="162"/>
      <c r="P215" s="157"/>
      <c r="Q215" s="162"/>
      <c r="R215" s="157"/>
      <c r="S215" s="162"/>
      <c r="T215" s="157"/>
      <c r="U215" s="162"/>
      <c r="V215" s="157"/>
    </row>
    <row r="216" spans="1:22" ht="11.25" customHeight="1" x14ac:dyDescent="0.25">
      <c r="A216" s="162"/>
      <c r="B216" s="162"/>
      <c r="C216" s="157"/>
      <c r="D216" s="157"/>
      <c r="E216" s="162"/>
      <c r="F216" s="157"/>
      <c r="G216" s="162"/>
      <c r="H216" s="157"/>
      <c r="I216" s="162"/>
      <c r="J216" s="157"/>
      <c r="K216" s="162"/>
      <c r="L216" s="157"/>
      <c r="M216" s="162"/>
      <c r="N216" s="157"/>
      <c r="O216" s="162"/>
      <c r="P216" s="157"/>
      <c r="Q216" s="162"/>
      <c r="R216" s="157"/>
      <c r="S216" s="162"/>
      <c r="T216" s="157"/>
      <c r="U216" s="162"/>
      <c r="V216" s="157"/>
    </row>
    <row r="217" spans="1:22" ht="11.25" customHeight="1" x14ac:dyDescent="0.25">
      <c r="A217" s="162"/>
      <c r="B217" s="162"/>
      <c r="C217" s="157"/>
      <c r="D217" s="157"/>
      <c r="E217" s="162"/>
      <c r="F217" s="157"/>
      <c r="G217" s="162"/>
      <c r="H217" s="157"/>
      <c r="I217" s="162"/>
      <c r="J217" s="157"/>
      <c r="K217" s="162"/>
      <c r="L217" s="157"/>
      <c r="M217" s="162"/>
      <c r="N217" s="157"/>
      <c r="O217" s="162"/>
      <c r="P217" s="157"/>
      <c r="Q217" s="162"/>
      <c r="R217" s="157"/>
      <c r="S217" s="162"/>
      <c r="T217" s="157"/>
      <c r="U217" s="162"/>
      <c r="V217" s="157"/>
    </row>
    <row r="218" spans="1:22" ht="11.25" customHeight="1" x14ac:dyDescent="0.25">
      <c r="A218" s="162"/>
      <c r="B218" s="162"/>
      <c r="C218" s="157"/>
      <c r="D218" s="157"/>
      <c r="E218" s="162"/>
      <c r="F218" s="157"/>
      <c r="G218" s="162"/>
      <c r="H218" s="157"/>
      <c r="I218" s="162"/>
      <c r="J218" s="157"/>
      <c r="K218" s="162"/>
      <c r="L218" s="157"/>
      <c r="M218" s="162"/>
      <c r="N218" s="157"/>
      <c r="O218" s="162"/>
      <c r="P218" s="157"/>
      <c r="Q218" s="162"/>
      <c r="R218" s="157"/>
      <c r="S218" s="162"/>
      <c r="T218" s="157"/>
      <c r="U218" s="162"/>
      <c r="V218" s="157"/>
    </row>
    <row r="219" spans="1:22" ht="11.25" customHeight="1" x14ac:dyDescent="0.25">
      <c r="A219" s="162"/>
      <c r="B219" s="162"/>
      <c r="C219" s="157"/>
      <c r="D219" s="157"/>
      <c r="E219" s="162"/>
      <c r="F219" s="157"/>
      <c r="G219" s="162"/>
      <c r="H219" s="157"/>
      <c r="I219" s="162"/>
      <c r="J219" s="157"/>
      <c r="K219" s="162"/>
      <c r="L219" s="157"/>
      <c r="M219" s="162"/>
      <c r="N219" s="157"/>
      <c r="O219" s="162"/>
      <c r="P219" s="157"/>
      <c r="Q219" s="162"/>
      <c r="R219" s="157"/>
      <c r="S219" s="162"/>
      <c r="T219" s="157"/>
      <c r="U219" s="162"/>
      <c r="V219" s="157"/>
    </row>
    <row r="220" spans="1:22" ht="11.25" customHeight="1" x14ac:dyDescent="0.25">
      <c r="A220" s="162"/>
      <c r="B220" s="162"/>
      <c r="C220" s="157"/>
      <c r="D220" s="157"/>
      <c r="E220" s="162"/>
      <c r="F220" s="157"/>
      <c r="G220" s="162"/>
      <c r="H220" s="157"/>
      <c r="I220" s="162"/>
      <c r="J220" s="157"/>
      <c r="K220" s="162"/>
      <c r="L220" s="157"/>
      <c r="M220" s="162"/>
      <c r="N220" s="157"/>
      <c r="O220" s="162"/>
      <c r="P220" s="157"/>
      <c r="Q220" s="162"/>
      <c r="R220" s="157"/>
      <c r="S220" s="162"/>
      <c r="T220" s="157"/>
      <c r="U220" s="162"/>
      <c r="V220" s="157"/>
    </row>
    <row r="221" spans="1:22" ht="11.25" customHeight="1" x14ac:dyDescent="0.25">
      <c r="A221" s="162"/>
      <c r="B221" s="162"/>
      <c r="C221" s="157"/>
      <c r="D221" s="157"/>
      <c r="E221" s="162"/>
      <c r="F221" s="157"/>
      <c r="G221" s="162"/>
      <c r="H221" s="157"/>
      <c r="I221" s="162"/>
      <c r="J221" s="157"/>
      <c r="K221" s="162"/>
      <c r="L221" s="157"/>
      <c r="M221" s="162"/>
      <c r="N221" s="157"/>
      <c r="O221" s="162"/>
      <c r="P221" s="157"/>
      <c r="Q221" s="162"/>
      <c r="R221" s="157"/>
      <c r="S221" s="162"/>
      <c r="T221" s="157"/>
      <c r="U221" s="162"/>
      <c r="V221" s="157"/>
    </row>
    <row r="222" spans="1:22" ht="11.25" customHeight="1" x14ac:dyDescent="0.25">
      <c r="A222" s="162"/>
      <c r="B222" s="162"/>
      <c r="C222" s="157"/>
      <c r="D222" s="157"/>
      <c r="E222" s="162"/>
      <c r="F222" s="157"/>
      <c r="G222" s="162"/>
      <c r="H222" s="157"/>
      <c r="I222" s="162"/>
      <c r="J222" s="157"/>
      <c r="K222" s="162"/>
      <c r="L222" s="157"/>
      <c r="M222" s="162"/>
      <c r="N222" s="157"/>
      <c r="O222" s="162"/>
      <c r="P222" s="157"/>
      <c r="Q222" s="162"/>
      <c r="R222" s="157"/>
      <c r="S222" s="162"/>
      <c r="T222" s="157"/>
      <c r="U222" s="162"/>
      <c r="V222" s="157"/>
    </row>
    <row r="223" spans="1:22" ht="11.25" customHeight="1" x14ac:dyDescent="0.25">
      <c r="A223" s="162"/>
      <c r="B223" s="162"/>
      <c r="C223" s="157"/>
      <c r="D223" s="157"/>
      <c r="E223" s="162"/>
      <c r="F223" s="157"/>
      <c r="G223" s="162"/>
      <c r="H223" s="157"/>
      <c r="I223" s="162"/>
      <c r="J223" s="157"/>
      <c r="K223" s="162"/>
      <c r="L223" s="157"/>
      <c r="M223" s="162"/>
      <c r="N223" s="157"/>
      <c r="O223" s="162"/>
      <c r="P223" s="157"/>
      <c r="Q223" s="162"/>
      <c r="R223" s="157"/>
      <c r="S223" s="162"/>
      <c r="T223" s="157"/>
      <c r="U223" s="162"/>
      <c r="V223" s="157"/>
    </row>
    <row r="224" spans="1:22" ht="11.25" customHeight="1" x14ac:dyDescent="0.25">
      <c r="A224" s="162"/>
      <c r="B224" s="162"/>
      <c r="C224" s="157"/>
      <c r="D224" s="157"/>
      <c r="E224" s="162"/>
      <c r="F224" s="157"/>
      <c r="G224" s="162"/>
      <c r="H224" s="157"/>
      <c r="I224" s="162"/>
      <c r="J224" s="157"/>
      <c r="K224" s="162"/>
      <c r="L224" s="157"/>
      <c r="M224" s="162"/>
      <c r="N224" s="157"/>
      <c r="O224" s="162"/>
      <c r="P224" s="157"/>
      <c r="Q224" s="162"/>
      <c r="R224" s="157"/>
      <c r="S224" s="162"/>
      <c r="T224" s="157"/>
      <c r="U224" s="162"/>
      <c r="V224" s="157"/>
    </row>
    <row r="225" spans="1:22" ht="11.25" customHeight="1" x14ac:dyDescent="0.25">
      <c r="A225" s="162"/>
      <c r="B225" s="162"/>
      <c r="C225" s="157"/>
      <c r="D225" s="157"/>
      <c r="E225" s="162"/>
      <c r="F225" s="157"/>
      <c r="G225" s="162"/>
      <c r="H225" s="157"/>
      <c r="I225" s="162"/>
      <c r="J225" s="157"/>
      <c r="K225" s="162"/>
      <c r="L225" s="157"/>
      <c r="M225" s="162"/>
      <c r="N225" s="157"/>
      <c r="O225" s="162"/>
      <c r="P225" s="157"/>
      <c r="Q225" s="162"/>
      <c r="R225" s="157"/>
      <c r="S225" s="162"/>
      <c r="T225" s="157"/>
      <c r="U225" s="162"/>
      <c r="V225" s="157"/>
    </row>
    <row r="226" spans="1:22" ht="11.25" customHeight="1" x14ac:dyDescent="0.25">
      <c r="A226" s="162"/>
      <c r="B226" s="162"/>
      <c r="C226" s="157"/>
      <c r="D226" s="157"/>
      <c r="E226" s="162"/>
      <c r="F226" s="157"/>
      <c r="G226" s="162"/>
      <c r="H226" s="157"/>
      <c r="I226" s="162"/>
      <c r="J226" s="157"/>
      <c r="K226" s="162"/>
      <c r="L226" s="157"/>
      <c r="M226" s="162"/>
      <c r="N226" s="157"/>
      <c r="O226" s="162"/>
      <c r="P226" s="157"/>
      <c r="Q226" s="162"/>
      <c r="R226" s="157"/>
      <c r="S226" s="162"/>
      <c r="T226" s="157"/>
      <c r="U226" s="162"/>
      <c r="V226" s="157"/>
    </row>
  </sheetData>
  <mergeCells count="56">
    <mergeCell ref="A193:L193"/>
    <mergeCell ref="A194:L194"/>
    <mergeCell ref="A195:L195"/>
    <mergeCell ref="A139:L139"/>
    <mergeCell ref="A140:L140"/>
    <mergeCell ref="A141:L141"/>
    <mergeCell ref="A142:L142"/>
    <mergeCell ref="A143:L143"/>
    <mergeCell ref="A184:L184"/>
    <mergeCell ref="A187:L187"/>
    <mergeCell ref="A190:L190"/>
    <mergeCell ref="A191:L191"/>
    <mergeCell ref="A192:L192"/>
    <mergeCell ref="A185:L185"/>
    <mergeCell ref="A186:L186"/>
    <mergeCell ref="A189:L189"/>
    <mergeCell ref="A188:L188"/>
    <mergeCell ref="C144:L144"/>
    <mergeCell ref="I54:K54"/>
    <mergeCell ref="I55:K55"/>
    <mergeCell ref="I56:K56"/>
    <mergeCell ref="G145:I145"/>
    <mergeCell ref="Q55:S55"/>
    <mergeCell ref="A92:T92"/>
    <mergeCell ref="A138:P138"/>
    <mergeCell ref="A96:P96"/>
    <mergeCell ref="Q54:S54"/>
    <mergeCell ref="C98:P98"/>
    <mergeCell ref="A97:P97"/>
    <mergeCell ref="A94:P94"/>
    <mergeCell ref="A1:V1"/>
    <mergeCell ref="A2:V2"/>
    <mergeCell ref="A3:V3"/>
    <mergeCell ref="A4:V4"/>
    <mergeCell ref="A5:V5"/>
    <mergeCell ref="C6:V6"/>
    <mergeCell ref="K7:M7"/>
    <mergeCell ref="C8:G8"/>
    <mergeCell ref="A42:V42"/>
    <mergeCell ref="Q7:S7"/>
    <mergeCell ref="A43:V43"/>
    <mergeCell ref="A44:V44"/>
    <mergeCell ref="A45:V45"/>
    <mergeCell ref="A95:P95"/>
    <mergeCell ref="A46:V46"/>
    <mergeCell ref="A90:T90"/>
    <mergeCell ref="A91:T91"/>
    <mergeCell ref="A47:T47"/>
    <mergeCell ref="A48:T48"/>
    <mergeCell ref="A49:T49"/>
    <mergeCell ref="A50:T50"/>
    <mergeCell ref="A51:T51"/>
    <mergeCell ref="C52:T52"/>
    <mergeCell ref="E55:G55"/>
    <mergeCell ref="A89:T89"/>
    <mergeCell ref="A93:P93"/>
  </mergeCells>
  <pageMargins left="0.5" right="0.5" top="0.5" bottom="0.65" header="0.3" footer="0.3"/>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0D8912-046C-43BF-B256-42B230DD9915}">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06b6e50c-567e-4806-9f26-4a74843187d6"/>
  </ds:schemaRefs>
</ds:datastoreItem>
</file>

<file path=customXml/itemProps2.xml><?xml version="1.0" encoding="utf-8"?>
<ds:datastoreItem xmlns:ds="http://schemas.openxmlformats.org/officeDocument/2006/customXml" ds:itemID="{FA92A228-1B14-4923-A870-129EE5176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b6e50c-567e-4806-9f26-4a74843187d6"/>
    <ds:schemaRef ds:uri="73166ee1-6b64-49a2-af77-8563fe7cb853"/>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CC4D16-93AA-4A17-BD86-EC5D33D8B1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vt:lpstr>
      <vt:lpstr>Table 1</vt:lpstr>
      <vt:lpstr>Table 2</vt:lpstr>
      <vt:lpstr>Table 3</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2017 and 2018</dc:title>
  <dc:subject/>
  <dc:creator>National Minerals Information Center</dc:creator>
  <cp:keywords>minerals; statistics; Latin America and Canada</cp:keywords>
  <dc:description/>
  <cp:lastModifiedBy>National Minerals Information Center</cp:lastModifiedBy>
  <cp:revision/>
  <cp:lastPrinted>2022-08-12T19:41:31Z</cp:lastPrinted>
  <dcterms:created xsi:type="dcterms:W3CDTF">2015-03-25T13:21:28Z</dcterms:created>
  <dcterms:modified xsi:type="dcterms:W3CDTF">2024-06-27T21:07:37Z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0x0101008B123EA10020DF428D7354A5D49425BD</vt:lpwstr>
  </property>
  <property fmtid="{D5CDD505-2E9C-101B-9397-08002B2CF9AE}" pid="3" name="{A44787D4-0540-4523-9961-78E4036D8C6D}">
    <vt:lpwstr>{C9EA8BED-1DC5-4B45-9571-3B650104FE0D}</vt:lpwstr>
  </property>
  <property fmtid="{D5CDD505-2E9C-101B-9397-08002B2CF9AE}" pid="4" name="MediaServiceImageTags">
    <vt:lpwstr/>
  </property>
</Properties>
</file>